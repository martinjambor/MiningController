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workbookProtection workbookPassword="BC48" lockStructure="1" lockWindows="1"/>
  <bookViews>
    <workbookView xWindow="240" yWindow="135" windowWidth="20115" windowHeight="7425"/>
  </bookViews>
  <sheets>
    <sheet name="ClockSettings" sheetId="1" r:id="rId1"/>
  </sheets>
  <calcPr calcId="145621"/>
</workbook>
</file>

<file path=xl/calcChain.xml><?xml version="1.0" encoding="utf-8"?>
<calcChain xmlns="http://schemas.openxmlformats.org/spreadsheetml/2006/main">
  <c r="AD25" i="1" l="1"/>
  <c r="AG25" i="1" s="1"/>
  <c r="X23" i="1" s="1"/>
  <c r="AD23" i="1"/>
  <c r="AG23" i="1" s="1"/>
  <c r="T17" i="1" s="1"/>
  <c r="AG22" i="1"/>
  <c r="G17" i="1" s="1"/>
  <c r="AD22" i="1"/>
  <c r="AF22" i="1" s="1"/>
  <c r="F17" i="1" s="1"/>
  <c r="AG21" i="1"/>
  <c r="S16" i="1" s="1"/>
  <c r="AD21" i="1"/>
  <c r="AF21" i="1" s="1"/>
  <c r="R16" i="1" s="1"/>
  <c r="AG20" i="1"/>
  <c r="F16" i="1" s="1"/>
  <c r="AD20" i="1"/>
  <c r="AF20" i="1" s="1"/>
  <c r="E16" i="1" s="1"/>
  <c r="AG19" i="1"/>
  <c r="AD19" i="1"/>
  <c r="AF19" i="1" s="1"/>
  <c r="Q15" i="1" s="1"/>
  <c r="AG18" i="1"/>
  <c r="E15" i="1" s="1"/>
  <c r="AD18" i="1"/>
  <c r="AF18" i="1" s="1"/>
  <c r="D15" i="1" s="1"/>
  <c r="AG17" i="1"/>
  <c r="Q14" i="1" s="1"/>
  <c r="AD17" i="1"/>
  <c r="AF17" i="1" s="1"/>
  <c r="P14" i="1" s="1"/>
  <c r="AG16" i="1"/>
  <c r="AF16" i="1"/>
  <c r="C14" i="1" s="1"/>
  <c r="AE16" i="1"/>
  <c r="B14" i="1" s="1"/>
  <c r="AD16" i="1"/>
  <c r="R15" i="1"/>
  <c r="AD14" i="1"/>
  <c r="AF14" i="1" s="1"/>
  <c r="X11" i="1" s="1"/>
  <c r="D14" i="1"/>
  <c r="AF13" i="1"/>
  <c r="V11" i="1" s="1"/>
  <c r="AE13" i="1"/>
  <c r="U11" i="1" s="1"/>
  <c r="AD13" i="1"/>
  <c r="AD12" i="1"/>
  <c r="AF12" i="1" s="1"/>
  <c r="T11" i="1" s="1"/>
  <c r="AD11" i="1"/>
  <c r="AF11" i="1" s="1"/>
  <c r="R11" i="1" s="1"/>
  <c r="AF10" i="1"/>
  <c r="P11" i="1" s="1"/>
  <c r="AD10" i="1"/>
  <c r="AE10" i="1" s="1"/>
  <c r="O11" i="1" s="1"/>
  <c r="AD9" i="1"/>
  <c r="AF9" i="1" s="1"/>
  <c r="N11" i="1" s="1"/>
  <c r="AD8" i="1"/>
  <c r="AF8" i="1" s="1"/>
  <c r="L11" i="1" s="1"/>
  <c r="AD7" i="1"/>
  <c r="AF7" i="1" s="1"/>
  <c r="J11" i="1" s="1"/>
  <c r="A5" i="1"/>
  <c r="AE9" i="1" l="1"/>
  <c r="M11" i="1" s="1"/>
  <c r="AE8" i="1"/>
  <c r="K11" i="1" s="1"/>
  <c r="AE12" i="1"/>
  <c r="S11" i="1" s="1"/>
  <c r="AE14" i="1"/>
  <c r="W11" i="1" s="1"/>
  <c r="AE23" i="1"/>
  <c r="R17" i="1" s="1"/>
  <c r="AE25" i="1"/>
  <c r="V23" i="1" s="1"/>
  <c r="AE7" i="1"/>
  <c r="I11" i="1" s="1"/>
  <c r="AE11" i="1"/>
  <c r="Q11" i="1" s="1"/>
  <c r="AE17" i="1"/>
  <c r="O14" i="1" s="1"/>
  <c r="AE18" i="1"/>
  <c r="C15" i="1" s="1"/>
  <c r="AE19" i="1"/>
  <c r="P15" i="1" s="1"/>
  <c r="AE20" i="1"/>
  <c r="D16" i="1" s="1"/>
  <c r="AE21" i="1"/>
  <c r="Q16" i="1" s="1"/>
  <c r="AE22" i="1"/>
  <c r="E17" i="1" s="1"/>
  <c r="AF23" i="1"/>
  <c r="S17" i="1" s="1"/>
  <c r="AF25" i="1"/>
  <c r="W23" i="1" s="1"/>
</calcChain>
</file>

<file path=xl/comments1.xml><?xml version="1.0" encoding="utf-8"?>
<comments xmlns="http://schemas.openxmlformats.org/spreadsheetml/2006/main">
  <authors>
    <author>KOWALKE, BRIAN</author>
  </authors>
  <commentList>
    <comment ref="V11" authorId="0">
      <text>
        <r>
          <rPr>
            <b/>
            <sz val="9"/>
            <color indexed="81"/>
            <rFont val="Tahoma"/>
            <family val="2"/>
          </rPr>
          <t>P6 GPU Voltage</t>
        </r>
      </text>
    </comment>
    <comment ref="W11" authorId="0">
      <text>
        <r>
          <rPr>
            <b/>
            <sz val="9"/>
            <color indexed="81"/>
            <rFont val="Tahoma"/>
            <family val="2"/>
          </rPr>
          <t>P7 GPU Voltage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P4 GPU Clock</t>
        </r>
      </text>
    </comment>
    <comment ref="Q16" authorId="0">
      <text>
        <r>
          <rPr>
            <b/>
            <sz val="9"/>
            <color indexed="81"/>
            <rFont val="Tahoma"/>
            <family val="2"/>
          </rPr>
          <t>P5 GPU Clock</t>
        </r>
      </text>
    </comment>
    <comment ref="E17" authorId="0">
      <text>
        <r>
          <rPr>
            <b/>
            <sz val="9"/>
            <color indexed="81"/>
            <rFont val="Tahoma"/>
            <family val="2"/>
          </rPr>
          <t>P6 GPU Clock</t>
        </r>
      </text>
    </comment>
    <comment ref="R17" authorId="0">
      <text>
        <r>
          <rPr>
            <b/>
            <sz val="9"/>
            <color indexed="81"/>
            <rFont val="Tahoma"/>
            <family val="2"/>
          </rPr>
          <t>P7 GPU Clock</t>
        </r>
      </text>
    </comment>
    <comment ref="V23" authorId="0">
      <text>
        <r>
          <rPr>
            <b/>
            <sz val="9"/>
            <color indexed="81"/>
            <rFont val="Tahoma"/>
            <family val="2"/>
          </rPr>
          <t>P4 MEM Clock</t>
        </r>
      </text>
    </comment>
  </commentList>
</comments>
</file>

<file path=xl/sharedStrings.xml><?xml version="1.0" encoding="utf-8"?>
<sst xmlns="http://schemas.openxmlformats.org/spreadsheetml/2006/main" count="706" uniqueCount="137">
  <si>
    <t>Windows Registry Editor Version 5.00</t>
  </si>
  <si>
    <t>Graphic Card #</t>
  </si>
  <si>
    <r>
      <rPr>
        <b/>
        <sz val="11"/>
        <color theme="1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>PP_PhmSoftPowerPlayTable"=hex:B6</t>
    </r>
  </si>
  <si>
    <t>02</t>
  </si>
  <si>
    <t>08</t>
  </si>
  <si>
    <t>01</t>
  </si>
  <si>
    <t>00</t>
  </si>
  <si>
    <t>5C</t>
  </si>
  <si>
    <t>E1</t>
  </si>
  <si>
    <t>06</t>
  </si>
  <si>
    <t>EE</t>
  </si>
  <si>
    <t>2B</t>
  </si>
  <si>
    <t>1B</t>
  </si>
  <si>
    <t>\</t>
  </si>
  <si>
    <t xml:space="preserve">  00</t>
  </si>
  <si>
    <t>48</t>
  </si>
  <si>
    <t>80</t>
  </si>
  <si>
    <t>A9</t>
  </si>
  <si>
    <t>03</t>
  </si>
  <si>
    <t>F0</t>
  </si>
  <si>
    <t>49</t>
  </si>
  <si>
    <t>8E</t>
  </si>
  <si>
    <t>P0 Core V</t>
  </si>
  <si>
    <t>4F</t>
  </si>
  <si>
    <t>46</t>
  </si>
  <si>
    <t>94</t>
  </si>
  <si>
    <t>9E</t>
  </si>
  <si>
    <t>BE</t>
  </si>
  <si>
    <t>28</t>
  </si>
  <si>
    <t>7A</t>
  </si>
  <si>
    <t>8C</t>
  </si>
  <si>
    <t>P1 Core V</t>
  </si>
  <si>
    <t xml:space="preserve">  BC</t>
  </si>
  <si>
    <t>72</t>
  </si>
  <si>
    <t>90</t>
  </si>
  <si>
    <t>A8</t>
  </si>
  <si>
    <t>6D</t>
  </si>
  <si>
    <t>43</t>
  </si>
  <si>
    <t>97</t>
  </si>
  <si>
    <t>71</t>
  </si>
  <si>
    <t>P2 Core V</t>
  </si>
  <si>
    <t xml:space="preserve">  02</t>
  </si>
  <si>
    <t>05</t>
  </si>
  <si>
    <t>07</t>
  </si>
  <si>
    <t>P3 Core V</t>
  </si>
  <si>
    <t>P4 Core V</t>
  </si>
  <si>
    <t xml:space="preserve">  01</t>
  </si>
  <si>
    <t>84</t>
  </si>
  <si>
    <t>60</t>
  </si>
  <si>
    <t>EA</t>
  </si>
  <si>
    <t>40</t>
  </si>
  <si>
    <t>19</t>
  </si>
  <si>
    <t>38</t>
  </si>
  <si>
    <t>DC</t>
  </si>
  <si>
    <t>P5 Core V</t>
  </si>
  <si>
    <t xml:space="preserve">  4A</t>
  </si>
  <si>
    <t>5F</t>
  </si>
  <si>
    <t>04</t>
  </si>
  <si>
    <t>77</t>
  </si>
  <si>
    <t>91</t>
  </si>
  <si>
    <t>6C</t>
  </si>
  <si>
    <t>B0</t>
  </si>
  <si>
    <t>P6 Core V</t>
  </si>
  <si>
    <t xml:space="preserve">  08</t>
  </si>
  <si>
    <t>P7 Core V</t>
  </si>
  <si>
    <t>P0 GPU Clock</t>
  </si>
  <si>
    <t>P1 GPU Clock</t>
  </si>
  <si>
    <t>4A</t>
  </si>
  <si>
    <t>P2 GPU Clock</t>
  </si>
  <si>
    <t>6E</t>
  </si>
  <si>
    <t>2C</t>
  </si>
  <si>
    <t>C9</t>
  </si>
  <si>
    <t>F8</t>
  </si>
  <si>
    <t>0B</t>
  </si>
  <si>
    <t>P3 GPU Clock</t>
  </si>
  <si>
    <t xml:space="preserve">  38</t>
  </si>
  <si>
    <t>F4</t>
  </si>
  <si>
    <t>D0</t>
  </si>
  <si>
    <t>C0</t>
  </si>
  <si>
    <t>D4</t>
  </si>
  <si>
    <t>P4 GPU Clock</t>
  </si>
  <si>
    <t>39</t>
  </si>
  <si>
    <t>24</t>
  </si>
  <si>
    <t>5E</t>
  </si>
  <si>
    <t>FC</t>
  </si>
  <si>
    <t>85</t>
  </si>
  <si>
    <t>AC</t>
  </si>
  <si>
    <t>BC</t>
  </si>
  <si>
    <t>34</t>
  </si>
  <si>
    <t>P5 GPU Clock</t>
  </si>
  <si>
    <t xml:space="preserve">  04</t>
  </si>
  <si>
    <t>68</t>
  </si>
  <si>
    <t>EC</t>
  </si>
  <si>
    <t>A3</t>
  </si>
  <si>
    <t>3C</t>
  </si>
  <si>
    <t>P6 GPU Clock</t>
  </si>
  <si>
    <t xml:space="preserve">  3C</t>
  </si>
  <si>
    <t>41</t>
  </si>
  <si>
    <t>50</t>
  </si>
  <si>
    <t>C3</t>
  </si>
  <si>
    <t>P7 GPU Clock</t>
  </si>
  <si>
    <t>98</t>
  </si>
  <si>
    <t>B5</t>
  </si>
  <si>
    <t>BB</t>
  </si>
  <si>
    <t>P4 MEM Clock</t>
  </si>
  <si>
    <t>78</t>
  </si>
  <si>
    <t>FF</t>
  </si>
  <si>
    <t>88</t>
  </si>
  <si>
    <t>26</t>
  </si>
  <si>
    <t xml:space="preserve">  19</t>
  </si>
  <si>
    <t xml:space="preserve">  90</t>
  </si>
  <si>
    <t>18</t>
  </si>
  <si>
    <t xml:space="preserve">  0B</t>
  </si>
  <si>
    <t>E4</t>
  </si>
  <si>
    <t>12</t>
  </si>
  <si>
    <t>09</t>
  </si>
  <si>
    <t>4B</t>
  </si>
  <si>
    <t>0A</t>
  </si>
  <si>
    <t>54</t>
  </si>
  <si>
    <t>31</t>
  </si>
  <si>
    <t>59</t>
  </si>
  <si>
    <t>69</t>
  </si>
  <si>
    <t>73</t>
  </si>
  <si>
    <t>64</t>
  </si>
  <si>
    <t>92</t>
  </si>
  <si>
    <t>96</t>
  </si>
  <si>
    <t>55</t>
  </si>
  <si>
    <t>30</t>
  </si>
  <si>
    <t>10</t>
  </si>
  <si>
    <t>ETH A13015081E1f9CF27A2843e2A623F362D0d08666</t>
  </si>
  <si>
    <t>XMR 47NgZN7Mp5CcfKzUKhFHXiMuXghudzFegUPWaTUJU71QVze3P1o2gd9MuhroHrYGAH1spqWEWDrnvUpeqFCic8B772ySpCM</t>
  </si>
  <si>
    <t>Get in touch via bitcointalk on updates or further development wishes. User brnsted</t>
  </si>
  <si>
    <t>Version</t>
  </si>
  <si>
    <t>Date</t>
  </si>
  <si>
    <t>2017, Sept 28</t>
  </si>
  <si>
    <t>0.1_Alpha</t>
  </si>
  <si>
    <t>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</si>
</sst>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000000"/>
      <name val="Calibri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Protection="1"/>
    <xf numFmtId="49" fontId="0" fillId="0" borderId="0" xfId="0" applyNumberFormat="1" applyProtection="1">
      <protection locked="0"/>
    </xf>
    <xf numFmtId="0" fontId="0" fillId="0" borderId="0" xfId="0" applyNumberFormat="1" applyProtection="1"/>
    <xf numFmtId="0" fontId="0" fillId="0" borderId="0" xfId="0" applyProtection="1">
      <protection locked="0"/>
    </xf>
    <xf numFmtId="49" fontId="0" fillId="2" borderId="0" xfId="0" applyNumberFormat="1" applyFill="1" applyProtection="1"/>
    <xf numFmtId="49" fontId="0" fillId="3" borderId="0" xfId="0" applyNumberFormat="1" applyFill="1" applyProtection="1"/>
    <xf numFmtId="49" fontId="0" fillId="4" borderId="0" xfId="0" applyNumberFormat="1" applyFill="1" applyProtection="1"/>
    <xf numFmtId="49" fontId="0" fillId="5" borderId="0" xfId="0" applyNumberFormat="1" applyFill="1" applyProtection="1"/>
    <xf numFmtId="49" fontId="2" fillId="6" borderId="0" xfId="0" applyNumberFormat="1" applyFont="1" applyFill="1" applyProtection="1"/>
    <xf numFmtId="49" fontId="0" fillId="7" borderId="0" xfId="0" applyNumberFormat="1" applyFill="1" applyProtection="1"/>
    <xf numFmtId="49" fontId="0" fillId="8" borderId="0" xfId="0" applyNumberFormat="1" applyFill="1" applyProtection="1"/>
    <xf numFmtId="49" fontId="0" fillId="9" borderId="0" xfId="0" applyNumberFormat="1" applyFill="1" applyProtection="1"/>
    <xf numFmtId="0" fontId="0" fillId="10" borderId="0" xfId="0" applyNumberFormat="1" applyFill="1" applyProtection="1"/>
    <xf numFmtId="0" fontId="0" fillId="7" borderId="0" xfId="0" applyNumberFormat="1" applyFill="1" applyProtection="1"/>
    <xf numFmtId="0" fontId="0" fillId="11" borderId="0" xfId="0" applyNumberFormat="1" applyFill="1" applyProtection="1"/>
    <xf numFmtId="0" fontId="0" fillId="4" borderId="0" xfId="0" applyNumberFormat="1" applyFill="1" applyProtection="1"/>
    <xf numFmtId="49" fontId="0" fillId="12" borderId="0" xfId="0" applyNumberFormat="1" applyFill="1" applyProtection="1"/>
    <xf numFmtId="0" fontId="0" fillId="12" borderId="0" xfId="0" applyNumberFormat="1" applyFill="1" applyProtection="1"/>
    <xf numFmtId="49" fontId="0" fillId="13" borderId="0" xfId="0" applyNumberFormat="1" applyFill="1" applyProtection="1"/>
    <xf numFmtId="0" fontId="0" fillId="13" borderId="0" xfId="0" applyNumberFormat="1" applyFill="1" applyProtection="1"/>
    <xf numFmtId="0" fontId="0" fillId="5" borderId="0" xfId="0" applyNumberFormat="1" applyFill="1" applyProtection="1"/>
    <xf numFmtId="49" fontId="0" fillId="14" borderId="0" xfId="0" applyNumberFormat="1" applyFill="1" applyProtection="1"/>
    <xf numFmtId="0" fontId="0" fillId="14" borderId="0" xfId="0" applyNumberFormat="1" applyFill="1" applyProtection="1"/>
    <xf numFmtId="49" fontId="0" fillId="0" borderId="0" xfId="0" applyNumberFormat="1" applyProtection="1"/>
    <xf numFmtId="0" fontId="1" fillId="0" borderId="0" xfId="0" applyFont="1" applyProtection="1"/>
    <xf numFmtId="0" fontId="0" fillId="11" borderId="0" xfId="0" applyFill="1" applyProtection="1"/>
    <xf numFmtId="0" fontId="0" fillId="0" borderId="0" xfId="0" applyNumberFormat="1" applyAlignment="1" applyProtection="1">
      <alignment horizontal="center"/>
    </xf>
    <xf numFmtId="0" fontId="1" fillId="11" borderId="0" xfId="0" applyFont="1" applyFill="1" applyAlignment="1" applyProtection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47625</xdr:colOff>
          <xdr:row>1</xdr:row>
          <xdr:rowOff>66675</xdr:rowOff>
        </xdr:from>
        <xdr:to>
          <xdr:col>33</xdr:col>
          <xdr:colOff>361950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reg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67235</xdr:colOff>
      <xdr:row>1</xdr:row>
      <xdr:rowOff>44821</xdr:rowOff>
    </xdr:from>
    <xdr:to>
      <xdr:col>38</xdr:col>
      <xdr:colOff>268941</xdr:colOff>
      <xdr:row>23</xdr:row>
      <xdr:rowOff>112059</xdr:rowOff>
    </xdr:to>
    <xdr:sp macro="" textlink="">
      <xdr:nvSpPr>
        <xdr:cNvPr id="2" name="Textfeld 1"/>
        <xdr:cNvSpPr txBox="1"/>
      </xdr:nvSpPr>
      <xdr:spPr>
        <a:xfrm>
          <a:off x="10544735" y="235321"/>
          <a:ext cx="3249706" cy="4258238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200" b="1">
              <a:solidFill>
                <a:schemeClr val="bg1"/>
              </a:solidFill>
            </a:rPr>
            <a:t>Attention:  Please</a:t>
          </a:r>
          <a:r>
            <a:rPr lang="de-DE" sz="1200" b="1" baseline="0">
              <a:solidFill>
                <a:schemeClr val="bg1"/>
              </a:solidFill>
            </a:rPr>
            <a:t> read existing </a:t>
          </a:r>
          <a:r>
            <a:rPr lang="de-DE" sz="1200" b="1">
              <a:solidFill>
                <a:schemeClr val="bg1"/>
              </a:solidFill>
            </a:rPr>
            <a:t>guidelines very carefully</a:t>
          </a:r>
          <a:r>
            <a:rPr lang="de-DE" sz="1200" b="1" baseline="0">
              <a:solidFill>
                <a:schemeClr val="bg1"/>
              </a:solidFill>
            </a:rPr>
            <a:t> how to adequately setup Vega64 BIOS.</a:t>
          </a:r>
          <a:endParaRPr lang="de-DE" sz="1200" b="1">
            <a:solidFill>
              <a:schemeClr val="bg1"/>
            </a:solidFill>
          </a:endParaRPr>
        </a:p>
        <a:p>
          <a:r>
            <a:rPr lang="de-DE" sz="1200" b="1">
              <a:solidFill>
                <a:schemeClr val="bg1"/>
              </a:solidFill>
            </a:rPr>
            <a:t>I don't take any responsibility in hardware fault or system damage(!).</a:t>
          </a:r>
        </a:p>
        <a:p>
          <a:endParaRPr lang="de-DE" sz="1200" b="1">
            <a:solidFill>
              <a:schemeClr val="bg1"/>
            </a:solidFill>
          </a:endParaRPr>
        </a:p>
        <a:p>
          <a:r>
            <a:rPr lang="de-DE" sz="1200" b="1">
              <a:solidFill>
                <a:schemeClr val="bg1"/>
              </a:solidFill>
            </a:rPr>
            <a:t>Credits for SoftPowerPlayTable go to hellm on Overclock.net for documenting</a:t>
          </a:r>
          <a:r>
            <a:rPr lang="de-DE" sz="1200" b="1" baseline="0">
              <a:solidFill>
                <a:schemeClr val="bg1"/>
              </a:solidFill>
            </a:rPr>
            <a:t> everything.</a:t>
          </a:r>
          <a:endParaRPr lang="de-DE" sz="1200" b="1">
            <a:solidFill>
              <a:schemeClr val="bg1"/>
            </a:solidFill>
          </a:endParaRPr>
        </a:p>
        <a:p>
          <a:r>
            <a:rPr lang="de-DE" sz="1200" b="1">
              <a:solidFill>
                <a:schemeClr val="bg1"/>
              </a:solidFill>
            </a:rPr>
            <a:t>Thanks</a:t>
          </a:r>
          <a:r>
            <a:rPr lang="de-DE" sz="1200" b="1" baseline="0">
              <a:solidFill>
                <a:schemeClr val="bg1"/>
              </a:solidFill>
            </a:rPr>
            <a:t> to rednoW for highlighting this stuff to me</a:t>
          </a:r>
        </a:p>
        <a:p>
          <a:endParaRPr lang="de-DE" sz="1200" b="1">
            <a:solidFill>
              <a:schemeClr val="bg1"/>
            </a:solidFill>
          </a:endParaRPr>
        </a:p>
        <a:p>
          <a:r>
            <a:rPr lang="de-DE" sz="1200" b="1">
              <a:solidFill>
                <a:schemeClr val="bg1"/>
              </a:solidFill>
            </a:rPr>
            <a:t>Very simple steps to be performed:</a:t>
          </a:r>
        </a:p>
        <a:p>
          <a:r>
            <a:rPr lang="de-DE" sz="1200" b="1">
              <a:solidFill>
                <a:schemeClr val="bg1"/>
              </a:solidFill>
            </a:rPr>
            <a:t>1.</a:t>
          </a:r>
          <a:r>
            <a:rPr lang="de-DE" sz="1200" b="1" baseline="0">
              <a:solidFill>
                <a:schemeClr val="bg1"/>
              </a:solidFill>
            </a:rPr>
            <a:t> Enter graphics card you want to adjust</a:t>
          </a:r>
          <a:endParaRPr lang="de-DE" sz="1200" b="1">
            <a:solidFill>
              <a:schemeClr val="bg1"/>
            </a:solidFill>
          </a:endParaRPr>
        </a:p>
        <a:p>
          <a:r>
            <a:rPr lang="de-DE" sz="1200" b="1">
              <a:solidFill>
                <a:schemeClr val="bg1"/>
              </a:solidFill>
            </a:rPr>
            <a:t>2. Enter desired voltage in mV  per  P State</a:t>
          </a:r>
        </a:p>
        <a:p>
          <a:r>
            <a:rPr lang="de-DE" sz="1200" b="1">
              <a:solidFill>
                <a:schemeClr val="bg1"/>
              </a:solidFill>
            </a:rPr>
            <a:t>3. Enter desired Clocks</a:t>
          </a:r>
          <a:r>
            <a:rPr lang="de-DE" sz="1200" b="1" baseline="0">
              <a:solidFill>
                <a:schemeClr val="bg1"/>
              </a:solidFill>
            </a:rPr>
            <a:t> per State</a:t>
          </a:r>
        </a:p>
        <a:p>
          <a:r>
            <a:rPr lang="de-DE" sz="1200" b="1" baseline="0">
              <a:solidFill>
                <a:schemeClr val="bg1"/>
              </a:solidFill>
            </a:rPr>
            <a:t>4. Enter MEM Clock Rate</a:t>
          </a:r>
        </a:p>
        <a:p>
          <a:r>
            <a:rPr lang="de-DE" sz="1200" b="1" baseline="0">
              <a:solidFill>
                <a:schemeClr val="bg1"/>
              </a:solidFill>
            </a:rPr>
            <a:t>5. Hit "Generate reg file"</a:t>
          </a:r>
        </a:p>
        <a:p>
          <a:r>
            <a:rPr lang="de-DE" sz="1200" b="1" baseline="0">
              <a:solidFill>
                <a:schemeClr val="bg1"/>
              </a:solidFill>
            </a:rPr>
            <a:t>6. Run .reg file</a:t>
          </a:r>
        </a:p>
        <a:p>
          <a:r>
            <a:rPr lang="de-DE" sz="1200" b="1" baseline="0">
              <a:solidFill>
                <a:schemeClr val="bg1"/>
              </a:solidFill>
            </a:rPr>
            <a:t>7. Reboot</a:t>
          </a:r>
        </a:p>
        <a:p>
          <a:r>
            <a:rPr lang="de-DE" sz="1200" b="1" baseline="0">
              <a:solidFill>
                <a:schemeClr val="bg1"/>
              </a:solidFill>
            </a:rPr>
            <a:t>8. Go to Wattman, reset settings</a:t>
          </a:r>
        </a:p>
        <a:p>
          <a:r>
            <a:rPr lang="de-DE" sz="1200" b="1" baseline="0">
              <a:solidFill>
                <a:schemeClr val="bg1"/>
              </a:solidFill>
            </a:rPr>
            <a:t>9. (Some say to put voltage to manual control - for me it works without)</a:t>
          </a:r>
        </a:p>
        <a:p>
          <a:r>
            <a:rPr lang="de-DE" sz="1200" b="1" baseline="0">
              <a:solidFill>
                <a:schemeClr val="bg1"/>
              </a:solidFill>
            </a:rPr>
            <a:t>10. ...Mine &amp; Profit :)</a:t>
          </a:r>
        </a:p>
        <a:p>
          <a:endParaRPr lang="de-DE" sz="1200" b="1" baseline="0">
            <a:solidFill>
              <a:schemeClr val="bg1"/>
            </a:solidFill>
          </a:endParaRPr>
        </a:p>
        <a:p>
          <a:endParaRPr lang="de-DE" sz="12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G34"/>
  <sheetViews>
    <sheetView windowProtection="1" tabSelected="1" zoomScale="85" zoomScaleNormal="85" workbookViewId="0">
      <selection activeCell="L8" sqref="L8:O11"/>
    </sheetView>
  </sheetViews>
  <sheetFormatPr baseColWidth="10" defaultRowHeight="15" x14ac:dyDescent="0.25"/>
  <cols>
    <col min="1" max="1" width="4.140625" style="1" bestFit="1" customWidth="1"/>
    <col min="2" max="4" width="3.28515625" style="1" bestFit="1" customWidth="1"/>
    <col min="5" max="5" width="3.140625" style="1" bestFit="1" customWidth="1"/>
    <col min="6" max="7" width="3.28515625" style="1" bestFit="1" customWidth="1"/>
    <col min="8" max="8" width="3.140625" style="1" bestFit="1" customWidth="1"/>
    <col min="9" max="11" width="3.28515625" style="1" bestFit="1" customWidth="1"/>
    <col min="12" max="12" width="3.42578125" style="1" bestFit="1" customWidth="1"/>
    <col min="13" max="13" width="3.28515625" style="1" bestFit="1" customWidth="1"/>
    <col min="14" max="14" width="3.42578125" style="1" bestFit="1" customWidth="1"/>
    <col min="15" max="15" width="3.28515625" style="1" bestFit="1" customWidth="1"/>
    <col min="16" max="17" width="3.42578125" style="1" bestFit="1" customWidth="1"/>
    <col min="18" max="18" width="3.28515625" style="1" bestFit="1" customWidth="1"/>
    <col min="19" max="19" width="3.5703125" style="1" bestFit="1" customWidth="1"/>
    <col min="20" max="20" width="3.140625" style="1" bestFit="1" customWidth="1"/>
    <col min="21" max="21" width="3.42578125" style="1" bestFit="1" customWidth="1"/>
    <col min="22" max="22" width="3.28515625" style="1" bestFit="1" customWidth="1"/>
    <col min="23" max="23" width="3.42578125" style="1" bestFit="1" customWidth="1"/>
    <col min="24" max="24" width="3.28515625" style="1" bestFit="1" customWidth="1"/>
    <col min="25" max="25" width="3.42578125" style="1" bestFit="1" customWidth="1"/>
    <col min="26" max="26" width="1.85546875" style="1" bestFit="1" customWidth="1"/>
    <col min="27" max="27" width="22.42578125" style="1" customWidth="1"/>
    <col min="28" max="28" width="14.28515625" style="1" bestFit="1" customWidth="1"/>
    <col min="29" max="29" width="5.140625" style="1" bestFit="1" customWidth="1"/>
    <col min="30" max="30" width="6.85546875" style="1" bestFit="1" customWidth="1"/>
    <col min="31" max="31" width="3.5703125" style="1" bestFit="1" customWidth="1"/>
    <col min="32" max="32" width="3.85546875" style="1" bestFit="1" customWidth="1"/>
    <col min="33" max="33" width="3.140625" style="1" bestFit="1" customWidth="1"/>
    <col min="34" max="16384" width="11.42578125" style="1"/>
  </cols>
  <sheetData>
    <row r="1" spans="1:33" x14ac:dyDescent="0.25">
      <c r="A1" s="1" t="s">
        <v>0</v>
      </c>
      <c r="AB1" s="26" t="s">
        <v>132</v>
      </c>
      <c r="AC1" s="28" t="s">
        <v>135</v>
      </c>
      <c r="AD1" s="28"/>
    </row>
    <row r="2" spans="1:33" x14ac:dyDescent="0.25">
      <c r="A2" s="1" t="s">
        <v>131</v>
      </c>
      <c r="AB2" s="26" t="s">
        <v>133</v>
      </c>
      <c r="AC2" s="28" t="s">
        <v>134</v>
      </c>
      <c r="AD2" s="28"/>
    </row>
    <row r="3" spans="1:33" x14ac:dyDescent="0.25">
      <c r="A3" s="1" t="s">
        <v>129</v>
      </c>
      <c r="AC3" s="24"/>
    </row>
    <row r="4" spans="1:33" x14ac:dyDescent="0.25">
      <c r="A4" s="1" t="s">
        <v>130</v>
      </c>
      <c r="AC4" s="24"/>
    </row>
    <row r="5" spans="1:33" x14ac:dyDescent="0.25">
      <c r="A5" s="1" t="str">
        <f>"[HKEY_LOCAL_MACHINE\SYSTEM\CurrentControlSet\Control\Class\{4d36e968-e325-11ce-bfc1-08002be10318}\"&amp;AC5&amp;"]"</f>
        <v>[HKEY_LOCAL_MACHINE\SYSTEM\CurrentControlSet\Control\Class\{4d36e968-e325-11ce-bfc1-08002be10318}\0010]</v>
      </c>
      <c r="AB5" s="25" t="s">
        <v>1</v>
      </c>
      <c r="AC5" s="2" t="s">
        <v>136</v>
      </c>
    </row>
    <row r="6" spans="1:33" x14ac:dyDescent="0.25">
      <c r="A6" s="1" t="s">
        <v>2</v>
      </c>
      <c r="B6" s="3" t="s">
        <v>3</v>
      </c>
      <c r="C6" s="3" t="s">
        <v>4</v>
      </c>
      <c r="D6" s="3" t="s">
        <v>5</v>
      </c>
      <c r="E6" s="3" t="s">
        <v>6</v>
      </c>
      <c r="F6" s="3" t="s">
        <v>7</v>
      </c>
      <c r="G6" s="3" t="s">
        <v>6</v>
      </c>
      <c r="H6" s="3" t="s">
        <v>8</v>
      </c>
      <c r="I6" s="3" t="s">
        <v>9</v>
      </c>
      <c r="J6" s="3" t="s">
        <v>6</v>
      </c>
      <c r="K6" s="3" t="s">
        <v>6</v>
      </c>
      <c r="L6" s="3" t="s">
        <v>10</v>
      </c>
      <c r="M6" s="3" t="s">
        <v>11</v>
      </c>
      <c r="N6" s="3" t="s">
        <v>6</v>
      </c>
      <c r="O6" s="3" t="s">
        <v>6</v>
      </c>
      <c r="P6" s="3" t="s">
        <v>12</v>
      </c>
      <c r="Q6" s="3" t="s">
        <v>13</v>
      </c>
      <c r="S6" s="27"/>
      <c r="T6" s="27"/>
      <c r="U6" s="27"/>
      <c r="V6" s="27"/>
      <c r="W6" s="27"/>
      <c r="X6" s="27"/>
      <c r="Y6" s="27"/>
      <c r="Z6" s="27"/>
      <c r="AA6" s="27"/>
    </row>
    <row r="7" spans="1:33" x14ac:dyDescent="0.25">
      <c r="A7" s="3" t="s">
        <v>14</v>
      </c>
      <c r="B7" s="3" t="s">
        <v>15</v>
      </c>
      <c r="C7" s="3" t="s">
        <v>6</v>
      </c>
      <c r="D7" s="3" t="s">
        <v>6</v>
      </c>
      <c r="E7" s="3" t="s">
        <v>6</v>
      </c>
      <c r="F7" s="3" t="s">
        <v>16</v>
      </c>
      <c r="G7" s="3" t="s">
        <v>17</v>
      </c>
      <c r="H7" s="3" t="s">
        <v>18</v>
      </c>
      <c r="I7" s="3" t="s">
        <v>6</v>
      </c>
      <c r="J7" s="3" t="s">
        <v>19</v>
      </c>
      <c r="K7" s="3" t="s">
        <v>20</v>
      </c>
      <c r="L7" s="3" t="s">
        <v>3</v>
      </c>
      <c r="M7" s="3" t="s">
        <v>6</v>
      </c>
      <c r="N7" s="3" t="s">
        <v>21</v>
      </c>
      <c r="O7" s="3" t="s">
        <v>6</v>
      </c>
      <c r="P7" s="3" t="s">
        <v>4</v>
      </c>
      <c r="Q7" s="3" t="s">
        <v>6</v>
      </c>
      <c r="R7" s="3" t="s">
        <v>6</v>
      </c>
      <c r="S7" s="3" t="s">
        <v>6</v>
      </c>
      <c r="T7" s="3" t="s">
        <v>6</v>
      </c>
      <c r="U7" s="3" t="s">
        <v>6</v>
      </c>
      <c r="V7" s="3" t="s">
        <v>6</v>
      </c>
      <c r="W7" s="3" t="s">
        <v>6</v>
      </c>
      <c r="X7" s="3" t="s">
        <v>6</v>
      </c>
      <c r="Y7" s="3" t="s">
        <v>6</v>
      </c>
      <c r="Z7" s="3" t="s">
        <v>13</v>
      </c>
      <c r="AB7" s="25" t="s">
        <v>22</v>
      </c>
      <c r="AC7" s="4">
        <v>900</v>
      </c>
      <c r="AD7" s="1" t="str">
        <f t="shared" ref="AD7:AD13" si="0">DEC2HEX((AC7))</f>
        <v>384</v>
      </c>
      <c r="AE7" s="5" t="str">
        <f t="shared" ref="AE7:AE13" si="1">MID(AD7,2,2)</f>
        <v>84</v>
      </c>
      <c r="AF7" s="5" t="str">
        <f t="shared" ref="AF7:AF13" si="2">"0"&amp;MID(AD7,1,1)</f>
        <v>03</v>
      </c>
    </row>
    <row r="8" spans="1:33" x14ac:dyDescent="0.25">
      <c r="A8" s="3" t="s">
        <v>14</v>
      </c>
      <c r="B8" s="3" t="s">
        <v>6</v>
      </c>
      <c r="C8" s="3" t="s">
        <v>6</v>
      </c>
      <c r="D8" s="3" t="s">
        <v>6</v>
      </c>
      <c r="E8" s="3" t="s">
        <v>6</v>
      </c>
      <c r="F8" s="3" t="s">
        <v>3</v>
      </c>
      <c r="G8" s="3" t="s">
        <v>5</v>
      </c>
      <c r="H8" s="3" t="s">
        <v>7</v>
      </c>
      <c r="I8" s="3" t="s">
        <v>6</v>
      </c>
      <c r="J8" s="3" t="s">
        <v>23</v>
      </c>
      <c r="K8" s="3" t="s">
        <v>3</v>
      </c>
      <c r="L8" s="3" t="s">
        <v>24</v>
      </c>
      <c r="M8" s="3" t="s">
        <v>3</v>
      </c>
      <c r="N8" s="3" t="s">
        <v>25</v>
      </c>
      <c r="O8" s="3" t="s">
        <v>6</v>
      </c>
      <c r="P8" s="3" t="s">
        <v>26</v>
      </c>
      <c r="Q8" s="3" t="s">
        <v>5</v>
      </c>
      <c r="R8" s="3" t="s">
        <v>27</v>
      </c>
      <c r="S8" s="3" t="s">
        <v>6</v>
      </c>
      <c r="T8" s="3" t="s">
        <v>28</v>
      </c>
      <c r="U8" s="3" t="s">
        <v>5</v>
      </c>
      <c r="V8" s="3" t="s">
        <v>29</v>
      </c>
      <c r="W8" s="3" t="s">
        <v>6</v>
      </c>
      <c r="X8" s="3" t="s">
        <v>30</v>
      </c>
      <c r="Y8" s="3" t="s">
        <v>6</v>
      </c>
      <c r="Z8" s="3" t="s">
        <v>13</v>
      </c>
      <c r="AB8" s="25" t="s">
        <v>31</v>
      </c>
      <c r="AC8" s="4">
        <v>900</v>
      </c>
      <c r="AD8" s="1" t="str">
        <f t="shared" si="0"/>
        <v>384</v>
      </c>
      <c r="AE8" s="6" t="str">
        <f t="shared" si="1"/>
        <v>84</v>
      </c>
      <c r="AF8" s="6" t="str">
        <f t="shared" si="2"/>
        <v>03</v>
      </c>
    </row>
    <row r="9" spans="1:33" x14ac:dyDescent="0.25">
      <c r="A9" s="3" t="s">
        <v>32</v>
      </c>
      <c r="B9" s="3" t="s">
        <v>5</v>
      </c>
      <c r="C9" s="3" t="s">
        <v>6</v>
      </c>
      <c r="D9" s="3" t="s">
        <v>6</v>
      </c>
      <c r="E9" s="3" t="s">
        <v>6</v>
      </c>
      <c r="F9" s="3" t="s">
        <v>6</v>
      </c>
      <c r="G9" s="3" t="s">
        <v>33</v>
      </c>
      <c r="H9" s="3" t="s">
        <v>3</v>
      </c>
      <c r="I9" s="3" t="s">
        <v>6</v>
      </c>
      <c r="J9" s="3" t="s">
        <v>6</v>
      </c>
      <c r="K9" s="3" t="s">
        <v>34</v>
      </c>
      <c r="L9" s="3" t="s">
        <v>6</v>
      </c>
      <c r="M9" s="3" t="s">
        <v>35</v>
      </c>
      <c r="N9" s="3" t="s">
        <v>3</v>
      </c>
      <c r="O9" s="3" t="s">
        <v>36</v>
      </c>
      <c r="P9" s="3" t="s">
        <v>5</v>
      </c>
      <c r="Q9" s="3" t="s">
        <v>37</v>
      </c>
      <c r="R9" s="3" t="s">
        <v>5</v>
      </c>
      <c r="S9" s="3" t="s">
        <v>38</v>
      </c>
      <c r="T9" s="3" t="s">
        <v>5</v>
      </c>
      <c r="U9" s="3" t="s">
        <v>19</v>
      </c>
      <c r="V9" s="3" t="s">
        <v>20</v>
      </c>
      <c r="W9" s="3" t="s">
        <v>3</v>
      </c>
      <c r="X9" s="3" t="s">
        <v>6</v>
      </c>
      <c r="Y9" s="3" t="s">
        <v>39</v>
      </c>
      <c r="Z9" s="3" t="s">
        <v>13</v>
      </c>
      <c r="AB9" s="25" t="s">
        <v>40</v>
      </c>
      <c r="AC9" s="4">
        <v>900</v>
      </c>
      <c r="AD9" s="1" t="str">
        <f t="shared" si="0"/>
        <v>384</v>
      </c>
      <c r="AE9" s="7" t="str">
        <f t="shared" si="1"/>
        <v>84</v>
      </c>
      <c r="AF9" s="7" t="str">
        <f t="shared" si="2"/>
        <v>03</v>
      </c>
    </row>
    <row r="10" spans="1:33" x14ac:dyDescent="0.25">
      <c r="A10" s="3" t="s">
        <v>41</v>
      </c>
      <c r="B10" s="3" t="s">
        <v>3</v>
      </c>
      <c r="C10" s="3" t="s">
        <v>3</v>
      </c>
      <c r="D10" s="3" t="s">
        <v>6</v>
      </c>
      <c r="E10" s="3" t="s">
        <v>6</v>
      </c>
      <c r="F10" s="3" t="s">
        <v>6</v>
      </c>
      <c r="G10" s="3" t="s">
        <v>6</v>
      </c>
      <c r="H10" s="3" t="s">
        <v>6</v>
      </c>
      <c r="I10" s="3" t="s">
        <v>6</v>
      </c>
      <c r="J10" s="3" t="s">
        <v>4</v>
      </c>
      <c r="K10" s="3" t="s">
        <v>6</v>
      </c>
      <c r="L10" s="3" t="s">
        <v>6</v>
      </c>
      <c r="M10" s="3" t="s">
        <v>6</v>
      </c>
      <c r="N10" s="3" t="s">
        <v>6</v>
      </c>
      <c r="O10" s="3" t="s">
        <v>6</v>
      </c>
      <c r="P10" s="3" t="s">
        <v>6</v>
      </c>
      <c r="Q10" s="3" t="s">
        <v>6</v>
      </c>
      <c r="R10" s="3" t="s">
        <v>42</v>
      </c>
      <c r="S10" s="3" t="s">
        <v>6</v>
      </c>
      <c r="T10" s="3" t="s">
        <v>43</v>
      </c>
      <c r="U10" s="3" t="s">
        <v>6</v>
      </c>
      <c r="V10" s="3" t="s">
        <v>18</v>
      </c>
      <c r="W10" s="3" t="s">
        <v>6</v>
      </c>
      <c r="X10" s="3" t="s">
        <v>42</v>
      </c>
      <c r="Y10" s="3" t="s">
        <v>6</v>
      </c>
      <c r="Z10" s="3" t="s">
        <v>13</v>
      </c>
      <c r="AB10" s="25" t="s">
        <v>44</v>
      </c>
      <c r="AC10" s="4">
        <v>900</v>
      </c>
      <c r="AD10" s="1" t="str">
        <f t="shared" si="0"/>
        <v>384</v>
      </c>
      <c r="AE10" s="8" t="str">
        <f t="shared" si="1"/>
        <v>84</v>
      </c>
      <c r="AF10" s="8" t="str">
        <f t="shared" si="2"/>
        <v>03</v>
      </c>
      <c r="AG10" s="24"/>
    </row>
    <row r="11" spans="1:33" x14ac:dyDescent="0.25">
      <c r="A11" s="3" t="s">
        <v>14</v>
      </c>
      <c r="B11" s="3" t="s">
        <v>6</v>
      </c>
      <c r="C11" s="3" t="s">
        <v>6</v>
      </c>
      <c r="D11" s="3" t="s">
        <v>6</v>
      </c>
      <c r="E11" s="3" t="s">
        <v>6</v>
      </c>
      <c r="F11" s="3" t="s">
        <v>6</v>
      </c>
      <c r="G11" s="3" t="s">
        <v>5</v>
      </c>
      <c r="H11" s="3" t="s">
        <v>4</v>
      </c>
      <c r="I11" s="5" t="str">
        <f>AE7</f>
        <v>84</v>
      </c>
      <c r="J11" s="5" t="str">
        <f>AF7</f>
        <v>03</v>
      </c>
      <c r="K11" s="6" t="str">
        <f>AE8</f>
        <v>84</v>
      </c>
      <c r="L11" s="6" t="str">
        <f>AF8</f>
        <v>03</v>
      </c>
      <c r="M11" s="7" t="str">
        <f>AE9</f>
        <v>84</v>
      </c>
      <c r="N11" s="7" t="str">
        <f>AF9</f>
        <v>03</v>
      </c>
      <c r="O11" s="8" t="str">
        <f>AE10</f>
        <v>84</v>
      </c>
      <c r="P11" s="8" t="str">
        <f>AF10</f>
        <v>03</v>
      </c>
      <c r="Q11" s="9" t="str">
        <f>AE11</f>
        <v>84</v>
      </c>
      <c r="R11" s="9" t="str">
        <f>AF11</f>
        <v>03</v>
      </c>
      <c r="S11" s="10" t="str">
        <f>AE12</f>
        <v>84</v>
      </c>
      <c r="T11" s="10" t="str">
        <f>AF12</f>
        <v>03</v>
      </c>
      <c r="U11" s="11" t="str">
        <f>AE13</f>
        <v>84</v>
      </c>
      <c r="V11" s="11" t="str">
        <f>AF13</f>
        <v>03</v>
      </c>
      <c r="W11" s="12" t="str">
        <f>AE14</f>
        <v>84</v>
      </c>
      <c r="X11" s="12" t="str">
        <f>AF14</f>
        <v>03</v>
      </c>
      <c r="Y11" s="3" t="s">
        <v>5</v>
      </c>
      <c r="Z11" s="3" t="s">
        <v>13</v>
      </c>
      <c r="AB11" s="25" t="s">
        <v>45</v>
      </c>
      <c r="AC11" s="4">
        <v>900</v>
      </c>
      <c r="AD11" s="1" t="str">
        <f t="shared" si="0"/>
        <v>384</v>
      </c>
      <c r="AE11" s="9" t="str">
        <f t="shared" si="1"/>
        <v>84</v>
      </c>
      <c r="AF11" s="9" t="str">
        <f t="shared" si="2"/>
        <v>03</v>
      </c>
      <c r="AG11" s="24"/>
    </row>
    <row r="12" spans="1:33" x14ac:dyDescent="0.25">
      <c r="A12" s="3" t="s">
        <v>46</v>
      </c>
      <c r="B12" s="3" t="s">
        <v>24</v>
      </c>
      <c r="C12" s="3" t="s">
        <v>42</v>
      </c>
      <c r="D12" s="3" t="s">
        <v>5</v>
      </c>
      <c r="E12" s="3" t="s">
        <v>5</v>
      </c>
      <c r="F12" s="3" t="s">
        <v>47</v>
      </c>
      <c r="G12" s="3" t="s">
        <v>18</v>
      </c>
      <c r="H12" s="3" t="s">
        <v>6</v>
      </c>
      <c r="I12" s="3" t="s">
        <v>4</v>
      </c>
      <c r="J12" s="3" t="s">
        <v>48</v>
      </c>
      <c r="K12" s="3" t="s">
        <v>49</v>
      </c>
      <c r="L12" s="3" t="s">
        <v>6</v>
      </c>
      <c r="M12" s="3" t="s">
        <v>6</v>
      </c>
      <c r="N12" s="3" t="s">
        <v>6</v>
      </c>
      <c r="O12" s="3" t="s">
        <v>50</v>
      </c>
      <c r="P12" s="3" t="s">
        <v>51</v>
      </c>
      <c r="Q12" s="3" t="s">
        <v>5</v>
      </c>
      <c r="R12" s="3" t="s">
        <v>6</v>
      </c>
      <c r="S12" s="3" t="s">
        <v>5</v>
      </c>
      <c r="T12" s="3" t="s">
        <v>16</v>
      </c>
      <c r="U12" s="3" t="s">
        <v>52</v>
      </c>
      <c r="V12" s="3" t="s">
        <v>5</v>
      </c>
      <c r="W12" s="3" t="s">
        <v>6</v>
      </c>
      <c r="X12" s="3" t="s">
        <v>3</v>
      </c>
      <c r="Y12" s="3" t="s">
        <v>53</v>
      </c>
      <c r="Z12" s="3" t="s">
        <v>13</v>
      </c>
      <c r="AB12" s="25" t="s">
        <v>54</v>
      </c>
      <c r="AC12" s="4">
        <v>900</v>
      </c>
      <c r="AD12" s="1" t="str">
        <f t="shared" si="0"/>
        <v>384</v>
      </c>
      <c r="AE12" s="10" t="str">
        <f t="shared" si="1"/>
        <v>84</v>
      </c>
      <c r="AF12" s="10" t="str">
        <f t="shared" si="2"/>
        <v>03</v>
      </c>
      <c r="AG12" s="24"/>
    </row>
    <row r="13" spans="1:33" x14ac:dyDescent="0.25">
      <c r="A13" s="3" t="s">
        <v>55</v>
      </c>
      <c r="B13" s="3" t="s">
        <v>5</v>
      </c>
      <c r="C13" s="3" t="s">
        <v>6</v>
      </c>
      <c r="D13" s="3" t="s">
        <v>18</v>
      </c>
      <c r="E13" s="3" t="s">
        <v>34</v>
      </c>
      <c r="F13" s="3" t="s">
        <v>56</v>
      </c>
      <c r="G13" s="3" t="s">
        <v>5</v>
      </c>
      <c r="H13" s="3" t="s">
        <v>6</v>
      </c>
      <c r="I13" s="3" t="s">
        <v>57</v>
      </c>
      <c r="J13" s="3" t="s">
        <v>6</v>
      </c>
      <c r="K13" s="3" t="s">
        <v>58</v>
      </c>
      <c r="L13" s="3" t="s">
        <v>5</v>
      </c>
      <c r="M13" s="3" t="s">
        <v>6</v>
      </c>
      <c r="N13" s="3" t="s">
        <v>42</v>
      </c>
      <c r="O13" s="3" t="s">
        <v>34</v>
      </c>
      <c r="P13" s="3" t="s">
        <v>59</v>
      </c>
      <c r="Q13" s="3" t="s">
        <v>5</v>
      </c>
      <c r="R13" s="3" t="s">
        <v>6</v>
      </c>
      <c r="S13" s="3" t="s">
        <v>9</v>
      </c>
      <c r="T13" s="3" t="s">
        <v>60</v>
      </c>
      <c r="U13" s="3" t="s">
        <v>61</v>
      </c>
      <c r="V13" s="3" t="s">
        <v>5</v>
      </c>
      <c r="W13" s="3" t="s">
        <v>6</v>
      </c>
      <c r="X13" s="3" t="s">
        <v>43</v>
      </c>
      <c r="Y13" s="3" t="s">
        <v>5</v>
      </c>
      <c r="Z13" s="3" t="s">
        <v>13</v>
      </c>
      <c r="AB13" s="25" t="s">
        <v>62</v>
      </c>
      <c r="AC13" s="4">
        <v>900</v>
      </c>
      <c r="AD13" s="1" t="str">
        <f t="shared" si="0"/>
        <v>384</v>
      </c>
      <c r="AE13" s="11" t="str">
        <f t="shared" si="1"/>
        <v>84</v>
      </c>
      <c r="AF13" s="11" t="str">
        <f t="shared" si="2"/>
        <v>03</v>
      </c>
      <c r="AG13" s="24"/>
    </row>
    <row r="14" spans="1:33" x14ac:dyDescent="0.25">
      <c r="A14" s="3" t="s">
        <v>63</v>
      </c>
      <c r="B14" s="13" t="str">
        <f>AE16</f>
        <v>D0</v>
      </c>
      <c r="C14" s="13" t="str">
        <f>AF16</f>
        <v>4C</v>
      </c>
      <c r="D14" s="13" t="str">
        <f t="shared" ref="D14" si="3">AG16</f>
        <v>01</v>
      </c>
      <c r="E14" s="13" t="s">
        <v>6</v>
      </c>
      <c r="F14" s="13" t="s">
        <v>6</v>
      </c>
      <c r="G14" s="3" t="s">
        <v>6</v>
      </c>
      <c r="H14" s="3" t="s">
        <v>16</v>
      </c>
      <c r="I14" s="3" t="s">
        <v>6</v>
      </c>
      <c r="J14" s="3" t="s">
        <v>6</v>
      </c>
      <c r="K14" s="3" t="s">
        <v>6</v>
      </c>
      <c r="L14" s="3" t="s">
        <v>6</v>
      </c>
      <c r="M14" s="3" t="s">
        <v>6</v>
      </c>
      <c r="N14" s="3" t="s">
        <v>6</v>
      </c>
      <c r="O14" s="14" t="str">
        <f>AE17</f>
        <v>1C</v>
      </c>
      <c r="P14" s="14" t="str">
        <f>AF17</f>
        <v>83</v>
      </c>
      <c r="Q14" s="14" t="str">
        <f t="shared" ref="Q14" si="4">AG17</f>
        <v>01</v>
      </c>
      <c r="R14" s="14" t="s">
        <v>6</v>
      </c>
      <c r="S14" s="14" t="s">
        <v>5</v>
      </c>
      <c r="T14" s="3" t="s">
        <v>6</v>
      </c>
      <c r="U14" s="3" t="s">
        <v>6</v>
      </c>
      <c r="V14" s="3" t="s">
        <v>6</v>
      </c>
      <c r="W14" s="3" t="s">
        <v>6</v>
      </c>
      <c r="X14" s="3" t="s">
        <v>6</v>
      </c>
      <c r="Y14" s="3" t="s">
        <v>6</v>
      </c>
      <c r="Z14" s="3" t="s">
        <v>13</v>
      </c>
      <c r="AB14" s="25" t="s">
        <v>64</v>
      </c>
      <c r="AC14" s="4">
        <v>900</v>
      </c>
      <c r="AD14" s="1" t="str">
        <f>DEC2HEX((AC14))</f>
        <v>384</v>
      </c>
      <c r="AE14" s="12" t="str">
        <f>MID(AD14,2,2)</f>
        <v>84</v>
      </c>
      <c r="AF14" s="12" t="str">
        <f>"0"&amp;MID(AD14,1,1)</f>
        <v>03</v>
      </c>
      <c r="AG14" s="24"/>
    </row>
    <row r="15" spans="1:33" x14ac:dyDescent="0.25">
      <c r="A15" s="3" t="s">
        <v>14</v>
      </c>
      <c r="B15" s="3" t="s">
        <v>6</v>
      </c>
      <c r="C15" s="15" t="str">
        <f>AE18</f>
        <v>70</v>
      </c>
      <c r="D15" s="15" t="str">
        <f>AF18</f>
        <v>A7</v>
      </c>
      <c r="E15" s="15" t="str">
        <f t="shared" ref="E15" si="5">AG18</f>
        <v>01</v>
      </c>
      <c r="F15" s="15" t="s">
        <v>6</v>
      </c>
      <c r="G15" s="15" t="s">
        <v>3</v>
      </c>
      <c r="H15" s="3" t="s">
        <v>6</v>
      </c>
      <c r="I15" s="3" t="s">
        <v>6</v>
      </c>
      <c r="J15" s="3" t="s">
        <v>6</v>
      </c>
      <c r="K15" s="3" t="s">
        <v>6</v>
      </c>
      <c r="L15" s="3" t="s">
        <v>6</v>
      </c>
      <c r="M15" s="3" t="s">
        <v>6</v>
      </c>
      <c r="N15" s="3" t="s">
        <v>6</v>
      </c>
      <c r="O15" s="3" t="s">
        <v>6</v>
      </c>
      <c r="P15" s="7" t="str">
        <f>AE19</f>
        <v>88</v>
      </c>
      <c r="Q15" s="7" t="str">
        <f>AF19</f>
        <v>BC</v>
      </c>
      <c r="R15" s="16" t="str">
        <f t="shared" ref="R15" si="6">AG19</f>
        <v>01</v>
      </c>
      <c r="S15" s="16" t="s">
        <v>6</v>
      </c>
      <c r="T15" s="16" t="s">
        <v>18</v>
      </c>
      <c r="U15" s="3" t="s">
        <v>6</v>
      </c>
      <c r="V15" s="3" t="s">
        <v>6</v>
      </c>
      <c r="W15" s="3" t="s">
        <v>6</v>
      </c>
      <c r="X15" s="3" t="s">
        <v>6</v>
      </c>
      <c r="Y15" s="3" t="s">
        <v>6</v>
      </c>
      <c r="Z15" s="3" t="s">
        <v>13</v>
      </c>
      <c r="AB15" s="25"/>
      <c r="AG15" s="24"/>
    </row>
    <row r="16" spans="1:33" x14ac:dyDescent="0.25">
      <c r="A16" s="3" t="s">
        <v>14</v>
      </c>
      <c r="B16" s="3" t="s">
        <v>6</v>
      </c>
      <c r="C16" s="3" t="s">
        <v>6</v>
      </c>
      <c r="D16" s="17" t="str">
        <f>AE20</f>
        <v>38</v>
      </c>
      <c r="E16" s="17" t="str">
        <f>AF20</f>
        <v>C1</v>
      </c>
      <c r="F16" s="17" t="str">
        <f>AG20</f>
        <v>01</v>
      </c>
      <c r="G16" s="18" t="s">
        <v>6</v>
      </c>
      <c r="H16" s="18" t="s">
        <v>57</v>
      </c>
      <c r="I16" s="3" t="s">
        <v>6</v>
      </c>
      <c r="J16" s="3" t="s">
        <v>6</v>
      </c>
      <c r="K16" s="3" t="s">
        <v>6</v>
      </c>
      <c r="L16" s="3" t="s">
        <v>6</v>
      </c>
      <c r="M16" s="3" t="s">
        <v>6</v>
      </c>
      <c r="N16" s="3" t="s">
        <v>6</v>
      </c>
      <c r="O16" s="3" t="s">
        <v>6</v>
      </c>
      <c r="P16" s="3" t="s">
        <v>6</v>
      </c>
      <c r="Q16" s="19" t="str">
        <f>AE21</f>
        <v>88</v>
      </c>
      <c r="R16" s="19" t="str">
        <f>AF21</f>
        <v>D5</v>
      </c>
      <c r="S16" s="19" t="str">
        <f>AG21</f>
        <v>01</v>
      </c>
      <c r="T16" s="20" t="s">
        <v>6</v>
      </c>
      <c r="U16" s="20" t="s">
        <v>42</v>
      </c>
      <c r="V16" s="3" t="s">
        <v>6</v>
      </c>
      <c r="W16" s="3" t="s">
        <v>6</v>
      </c>
      <c r="X16" s="3" t="s">
        <v>6</v>
      </c>
      <c r="Y16" s="3" t="s">
        <v>6</v>
      </c>
      <c r="Z16" s="3" t="s">
        <v>13</v>
      </c>
      <c r="AB16" s="25" t="s">
        <v>65</v>
      </c>
      <c r="AC16" s="4">
        <v>852</v>
      </c>
      <c r="AD16" s="1" t="str">
        <f t="shared" ref="AD16:AD19" si="7">DEC2HEX((AC16*100))</f>
        <v>14CD0</v>
      </c>
      <c r="AE16" s="13" t="str">
        <f t="shared" ref="AE16:AE23" si="8">MID(AD16,4,2)</f>
        <v>D0</v>
      </c>
      <c r="AF16" s="13" t="str">
        <f t="shared" ref="AF16:AF23" si="9">MID(AD16,2,2)</f>
        <v>4C</v>
      </c>
      <c r="AG16" s="13" t="str">
        <f t="shared" ref="AG16:AG23" si="10">"0"&amp;MID(AD16,1,1)</f>
        <v>01</v>
      </c>
    </row>
    <row r="17" spans="1:33" x14ac:dyDescent="0.25">
      <c r="A17" s="3" t="s">
        <v>46</v>
      </c>
      <c r="B17" s="3" t="s">
        <v>6</v>
      </c>
      <c r="C17" s="3" t="s">
        <v>6</v>
      </c>
      <c r="D17" s="3" t="s">
        <v>6</v>
      </c>
      <c r="E17" s="8" t="str">
        <f>AE22</f>
        <v>70</v>
      </c>
      <c r="F17" s="8" t="str">
        <f>AF22</f>
        <v>D9</v>
      </c>
      <c r="G17" s="8" t="str">
        <f>AG22</f>
        <v>01</v>
      </c>
      <c r="H17" s="21" t="s">
        <v>6</v>
      </c>
      <c r="I17" s="21" t="s">
        <v>9</v>
      </c>
      <c r="J17" s="3" t="s">
        <v>6</v>
      </c>
      <c r="K17" s="3" t="s">
        <v>6</v>
      </c>
      <c r="L17" s="3" t="s">
        <v>6</v>
      </c>
      <c r="M17" s="3" t="s">
        <v>6</v>
      </c>
      <c r="N17" s="3" t="s">
        <v>5</v>
      </c>
      <c r="O17" s="3" t="s">
        <v>6</v>
      </c>
      <c r="P17" s="3" t="s">
        <v>6</v>
      </c>
      <c r="Q17" s="3" t="s">
        <v>6</v>
      </c>
      <c r="R17" s="22" t="str">
        <f>AE23</f>
        <v>58</v>
      </c>
      <c r="S17" s="22" t="str">
        <f>AF23</f>
        <v>DD</v>
      </c>
      <c r="T17" s="23" t="str">
        <f t="shared" ref="T17" si="11">AG23</f>
        <v>01</v>
      </c>
      <c r="U17" s="23" t="s">
        <v>6</v>
      </c>
      <c r="V17" s="23" t="s">
        <v>43</v>
      </c>
      <c r="W17" s="3" t="s">
        <v>6</v>
      </c>
      <c r="X17" s="3" t="s">
        <v>6</v>
      </c>
      <c r="Y17" s="3" t="s">
        <v>6</v>
      </c>
      <c r="Z17" s="3" t="s">
        <v>13</v>
      </c>
      <c r="AB17" s="25" t="s">
        <v>66</v>
      </c>
      <c r="AC17" s="4">
        <v>991</v>
      </c>
      <c r="AD17" s="1" t="str">
        <f t="shared" si="7"/>
        <v>1831C</v>
      </c>
      <c r="AE17" s="14" t="str">
        <f t="shared" si="8"/>
        <v>1C</v>
      </c>
      <c r="AF17" s="14" t="str">
        <f t="shared" si="9"/>
        <v>83</v>
      </c>
      <c r="AG17" s="14" t="str">
        <f t="shared" si="10"/>
        <v>01</v>
      </c>
    </row>
    <row r="18" spans="1:33" x14ac:dyDescent="0.25">
      <c r="A18" s="3" t="s">
        <v>14</v>
      </c>
      <c r="B18" s="3" t="s">
        <v>5</v>
      </c>
      <c r="C18" s="3" t="s">
        <v>6</v>
      </c>
      <c r="D18" s="3" t="s">
        <v>6</v>
      </c>
      <c r="E18" s="3" t="s">
        <v>6</v>
      </c>
      <c r="F18" s="3" t="s">
        <v>6</v>
      </c>
      <c r="G18" s="3" t="s">
        <v>42</v>
      </c>
      <c r="H18" s="3" t="s">
        <v>48</v>
      </c>
      <c r="I18" s="3" t="s">
        <v>49</v>
      </c>
      <c r="J18" s="3" t="s">
        <v>6</v>
      </c>
      <c r="K18" s="3" t="s">
        <v>6</v>
      </c>
      <c r="L18" s="3" t="s">
        <v>6</v>
      </c>
      <c r="M18" s="3" t="s">
        <v>50</v>
      </c>
      <c r="N18" s="3" t="s">
        <v>51</v>
      </c>
      <c r="O18" s="3" t="s">
        <v>5</v>
      </c>
      <c r="P18" s="3" t="s">
        <v>6</v>
      </c>
      <c r="Q18" s="3" t="s">
        <v>6</v>
      </c>
      <c r="R18" s="3" t="s">
        <v>16</v>
      </c>
      <c r="S18" s="3" t="s">
        <v>52</v>
      </c>
      <c r="T18" s="3" t="s">
        <v>5</v>
      </c>
      <c r="U18" s="3" t="s">
        <v>6</v>
      </c>
      <c r="V18" s="3" t="s">
        <v>6</v>
      </c>
      <c r="W18" s="3" t="s">
        <v>53</v>
      </c>
      <c r="X18" s="3" t="s">
        <v>67</v>
      </c>
      <c r="Y18" s="3" t="s">
        <v>5</v>
      </c>
      <c r="Z18" s="3" t="s">
        <v>13</v>
      </c>
      <c r="AB18" s="25" t="s">
        <v>68</v>
      </c>
      <c r="AC18" s="4">
        <v>1084</v>
      </c>
      <c r="AD18" s="1" t="str">
        <f t="shared" si="7"/>
        <v>1A770</v>
      </c>
      <c r="AE18" s="15" t="str">
        <f t="shared" si="8"/>
        <v>70</v>
      </c>
      <c r="AF18" s="15" t="str">
        <f t="shared" si="9"/>
        <v>A7</v>
      </c>
      <c r="AG18" s="15" t="str">
        <f t="shared" si="10"/>
        <v>01</v>
      </c>
    </row>
    <row r="19" spans="1:33" x14ac:dyDescent="0.25">
      <c r="A19" s="3" t="s">
        <v>14</v>
      </c>
      <c r="B19" s="3" t="s">
        <v>6</v>
      </c>
      <c r="C19" s="3" t="s">
        <v>34</v>
      </c>
      <c r="D19" s="3" t="s">
        <v>56</v>
      </c>
      <c r="E19" s="3" t="s">
        <v>5</v>
      </c>
      <c r="F19" s="3" t="s">
        <v>6</v>
      </c>
      <c r="G19" s="3" t="s">
        <v>6</v>
      </c>
      <c r="H19" s="3" t="s">
        <v>6</v>
      </c>
      <c r="I19" s="3" t="s">
        <v>4</v>
      </c>
      <c r="J19" s="3" t="s">
        <v>28</v>
      </c>
      <c r="K19" s="3" t="s">
        <v>69</v>
      </c>
      <c r="L19" s="3" t="s">
        <v>6</v>
      </c>
      <c r="M19" s="3" t="s">
        <v>6</v>
      </c>
      <c r="N19" s="3" t="s">
        <v>6</v>
      </c>
      <c r="O19" s="3" t="s">
        <v>70</v>
      </c>
      <c r="P19" s="3" t="s">
        <v>71</v>
      </c>
      <c r="Q19" s="3" t="s">
        <v>6</v>
      </c>
      <c r="R19" s="3" t="s">
        <v>6</v>
      </c>
      <c r="S19" s="3" t="s">
        <v>5</v>
      </c>
      <c r="T19" s="3" t="s">
        <v>72</v>
      </c>
      <c r="U19" s="3" t="s">
        <v>73</v>
      </c>
      <c r="V19" s="3" t="s">
        <v>5</v>
      </c>
      <c r="W19" s="3" t="s">
        <v>6</v>
      </c>
      <c r="X19" s="3" t="s">
        <v>3</v>
      </c>
      <c r="Y19" s="3" t="s">
        <v>16</v>
      </c>
      <c r="Z19" s="3" t="s">
        <v>13</v>
      </c>
      <c r="AB19" s="25" t="s">
        <v>74</v>
      </c>
      <c r="AC19" s="4">
        <v>1138</v>
      </c>
      <c r="AD19" s="1" t="str">
        <f t="shared" si="7"/>
        <v>1BC88</v>
      </c>
      <c r="AE19" s="7" t="str">
        <f t="shared" si="8"/>
        <v>88</v>
      </c>
      <c r="AF19" s="7" t="str">
        <f t="shared" si="9"/>
        <v>BC</v>
      </c>
      <c r="AG19" s="7" t="str">
        <f t="shared" si="10"/>
        <v>01</v>
      </c>
    </row>
    <row r="20" spans="1:33" x14ac:dyDescent="0.25">
      <c r="A20" s="3" t="s">
        <v>75</v>
      </c>
      <c r="B20" s="3" t="s">
        <v>5</v>
      </c>
      <c r="C20" s="3" t="s">
        <v>6</v>
      </c>
      <c r="D20" s="3" t="s">
        <v>18</v>
      </c>
      <c r="E20" s="3" t="s">
        <v>34</v>
      </c>
      <c r="F20" s="3" t="s">
        <v>56</v>
      </c>
      <c r="G20" s="3" t="s">
        <v>5</v>
      </c>
      <c r="H20" s="3" t="s">
        <v>6</v>
      </c>
      <c r="I20" s="3" t="s">
        <v>57</v>
      </c>
      <c r="J20" s="3" t="s">
        <v>76</v>
      </c>
      <c r="K20" s="3" t="s">
        <v>59</v>
      </c>
      <c r="L20" s="3" t="s">
        <v>5</v>
      </c>
      <c r="M20" s="3" t="s">
        <v>6</v>
      </c>
      <c r="N20" s="3" t="s">
        <v>42</v>
      </c>
      <c r="O20" s="3" t="s">
        <v>77</v>
      </c>
      <c r="P20" s="3" t="s">
        <v>61</v>
      </c>
      <c r="Q20" s="3" t="s">
        <v>5</v>
      </c>
      <c r="R20" s="3" t="s">
        <v>6</v>
      </c>
      <c r="S20" s="3" t="s">
        <v>9</v>
      </c>
      <c r="T20" s="3" t="s">
        <v>78</v>
      </c>
      <c r="U20" s="3" t="s">
        <v>79</v>
      </c>
      <c r="V20" s="3" t="s">
        <v>5</v>
      </c>
      <c r="W20" s="3" t="s">
        <v>6</v>
      </c>
      <c r="X20" s="3" t="s">
        <v>43</v>
      </c>
      <c r="Y20" s="3" t="s">
        <v>6</v>
      </c>
      <c r="Z20" s="3" t="s">
        <v>13</v>
      </c>
      <c r="AB20" s="25" t="s">
        <v>80</v>
      </c>
      <c r="AC20" s="4">
        <v>1150</v>
      </c>
      <c r="AD20" s="1" t="str">
        <f>DEC2HEX((AC20*100))</f>
        <v>1C138</v>
      </c>
      <c r="AE20" s="17" t="str">
        <f t="shared" si="8"/>
        <v>38</v>
      </c>
      <c r="AF20" s="17" t="str">
        <f t="shared" si="9"/>
        <v>C1</v>
      </c>
      <c r="AG20" s="17" t="str">
        <f t="shared" si="10"/>
        <v>01</v>
      </c>
    </row>
    <row r="21" spans="1:33" x14ac:dyDescent="0.25">
      <c r="A21" s="3" t="s">
        <v>63</v>
      </c>
      <c r="B21" s="3" t="s">
        <v>60</v>
      </c>
      <c r="C21" s="3" t="s">
        <v>81</v>
      </c>
      <c r="D21" s="3" t="s">
        <v>6</v>
      </c>
      <c r="E21" s="3" t="s">
        <v>6</v>
      </c>
      <c r="F21" s="3" t="s">
        <v>6</v>
      </c>
      <c r="G21" s="3" t="s">
        <v>82</v>
      </c>
      <c r="H21" s="3" t="s">
        <v>83</v>
      </c>
      <c r="I21" s="3" t="s">
        <v>6</v>
      </c>
      <c r="J21" s="3" t="s">
        <v>6</v>
      </c>
      <c r="K21" s="3" t="s">
        <v>5</v>
      </c>
      <c r="L21" s="3" t="s">
        <v>84</v>
      </c>
      <c r="M21" s="3" t="s">
        <v>85</v>
      </c>
      <c r="N21" s="3" t="s">
        <v>6</v>
      </c>
      <c r="O21" s="3" t="s">
        <v>6</v>
      </c>
      <c r="P21" s="3" t="s">
        <v>3</v>
      </c>
      <c r="Q21" s="3" t="s">
        <v>86</v>
      </c>
      <c r="R21" s="3" t="s">
        <v>87</v>
      </c>
      <c r="S21" s="3" t="s">
        <v>6</v>
      </c>
      <c r="T21" s="3" t="s">
        <v>6</v>
      </c>
      <c r="U21" s="3" t="s">
        <v>18</v>
      </c>
      <c r="V21" s="3" t="s">
        <v>88</v>
      </c>
      <c r="W21" s="3" t="s">
        <v>77</v>
      </c>
      <c r="X21" s="3" t="s">
        <v>6</v>
      </c>
      <c r="Y21" s="3" t="s">
        <v>6</v>
      </c>
      <c r="Z21" s="3" t="s">
        <v>13</v>
      </c>
      <c r="AB21" s="25" t="s">
        <v>89</v>
      </c>
      <c r="AC21" s="4">
        <v>1202</v>
      </c>
      <c r="AD21" s="1" t="str">
        <f t="shared" ref="AD21:AD23" si="12">DEC2HEX((AC21*100))</f>
        <v>1D588</v>
      </c>
      <c r="AE21" s="19" t="str">
        <f>MID(AD21,4,2)</f>
        <v>88</v>
      </c>
      <c r="AF21" s="19" t="str">
        <f t="shared" si="9"/>
        <v>D5</v>
      </c>
      <c r="AG21" s="19" t="str">
        <f t="shared" si="10"/>
        <v>01</v>
      </c>
    </row>
    <row r="22" spans="1:33" x14ac:dyDescent="0.25">
      <c r="A22" s="3" t="s">
        <v>90</v>
      </c>
      <c r="B22" s="3" t="s">
        <v>91</v>
      </c>
      <c r="C22" s="3" t="s">
        <v>69</v>
      </c>
      <c r="D22" s="3" t="s">
        <v>5</v>
      </c>
      <c r="E22" s="3" t="s">
        <v>6</v>
      </c>
      <c r="F22" s="3" t="s">
        <v>42</v>
      </c>
      <c r="G22" s="3" t="s">
        <v>4</v>
      </c>
      <c r="H22" s="3" t="s">
        <v>38</v>
      </c>
      <c r="I22" s="3" t="s">
        <v>5</v>
      </c>
      <c r="J22" s="3" t="s">
        <v>6</v>
      </c>
      <c r="K22" s="3" t="s">
        <v>9</v>
      </c>
      <c r="L22" s="3" t="s">
        <v>92</v>
      </c>
      <c r="M22" s="3" t="s">
        <v>93</v>
      </c>
      <c r="N22" s="3" t="s">
        <v>5</v>
      </c>
      <c r="O22" s="3" t="s">
        <v>6</v>
      </c>
      <c r="P22" s="3" t="s">
        <v>43</v>
      </c>
      <c r="Q22" s="3" t="s">
        <v>6</v>
      </c>
      <c r="R22" s="3" t="s">
        <v>5</v>
      </c>
      <c r="S22" s="3" t="s">
        <v>91</v>
      </c>
      <c r="T22" s="3" t="s">
        <v>94</v>
      </c>
      <c r="U22" s="3" t="s">
        <v>5</v>
      </c>
      <c r="V22" s="3" t="s">
        <v>6</v>
      </c>
      <c r="W22" s="3" t="s">
        <v>6</v>
      </c>
      <c r="X22" s="3" t="s">
        <v>5</v>
      </c>
      <c r="Y22" s="3" t="s">
        <v>57</v>
      </c>
      <c r="Z22" s="3" t="s">
        <v>13</v>
      </c>
      <c r="AB22" s="25" t="s">
        <v>95</v>
      </c>
      <c r="AC22" s="4">
        <v>1212</v>
      </c>
      <c r="AD22" s="1" t="str">
        <f t="shared" si="12"/>
        <v>1D970</v>
      </c>
      <c r="AE22" s="8" t="str">
        <f t="shared" si="8"/>
        <v>70</v>
      </c>
      <c r="AF22" s="8" t="str">
        <f t="shared" si="9"/>
        <v>D9</v>
      </c>
      <c r="AG22" s="8" t="str">
        <f t="shared" si="10"/>
        <v>01</v>
      </c>
    </row>
    <row r="23" spans="1:33" x14ac:dyDescent="0.25">
      <c r="A23" s="3" t="s">
        <v>96</v>
      </c>
      <c r="B23" s="3" t="s">
        <v>97</v>
      </c>
      <c r="C23" s="3" t="s">
        <v>6</v>
      </c>
      <c r="D23" s="3" t="s">
        <v>6</v>
      </c>
      <c r="E23" s="3" t="s">
        <v>6</v>
      </c>
      <c r="F23" s="3" t="s">
        <v>6</v>
      </c>
      <c r="G23" s="3" t="s">
        <v>6</v>
      </c>
      <c r="H23" s="3" t="s">
        <v>98</v>
      </c>
      <c r="I23" s="3" t="s">
        <v>99</v>
      </c>
      <c r="J23" s="3" t="s">
        <v>6</v>
      </c>
      <c r="K23" s="3" t="s">
        <v>6</v>
      </c>
      <c r="L23" s="3" t="s">
        <v>6</v>
      </c>
      <c r="M23" s="3" t="s">
        <v>6</v>
      </c>
      <c r="N23" s="3" t="s">
        <v>6</v>
      </c>
      <c r="O23" s="3" t="s">
        <v>16</v>
      </c>
      <c r="P23" s="3" t="s">
        <v>52</v>
      </c>
      <c r="Q23" s="3" t="s">
        <v>5</v>
      </c>
      <c r="R23" s="3" t="s">
        <v>6</v>
      </c>
      <c r="S23" s="3" t="s">
        <v>3</v>
      </c>
      <c r="T23" s="3" t="s">
        <v>6</v>
      </c>
      <c r="U23" s="3" t="s">
        <v>6</v>
      </c>
      <c r="V23" s="7" t="str">
        <f>AE25</f>
        <v>28</v>
      </c>
      <c r="W23" s="7" t="str">
        <f>AF25</f>
        <v>9A</v>
      </c>
      <c r="X23" s="7" t="str">
        <f>AG25</f>
        <v>01</v>
      </c>
      <c r="Y23" s="3" t="s">
        <v>6</v>
      </c>
      <c r="Z23" s="3" t="s">
        <v>13</v>
      </c>
      <c r="AB23" s="25" t="s">
        <v>100</v>
      </c>
      <c r="AC23" s="4">
        <v>1222</v>
      </c>
      <c r="AD23" s="1" t="str">
        <f t="shared" si="12"/>
        <v>1DD58</v>
      </c>
      <c r="AE23" s="22" t="str">
        <f t="shared" si="8"/>
        <v>58</v>
      </c>
      <c r="AF23" s="22" t="str">
        <f t="shared" si="9"/>
        <v>DD</v>
      </c>
      <c r="AG23" s="22" t="str">
        <f t="shared" si="10"/>
        <v>01</v>
      </c>
    </row>
    <row r="24" spans="1:33" x14ac:dyDescent="0.25">
      <c r="A24" s="3" t="s">
        <v>90</v>
      </c>
      <c r="B24" s="3" t="s">
        <v>6</v>
      </c>
      <c r="C24" s="3" t="s">
        <v>6</v>
      </c>
      <c r="D24" s="3" t="s">
        <v>5</v>
      </c>
      <c r="E24" s="3" t="s">
        <v>4</v>
      </c>
      <c r="F24" s="3" t="s">
        <v>6</v>
      </c>
      <c r="G24" s="3" t="s">
        <v>101</v>
      </c>
      <c r="H24" s="3" t="s">
        <v>85</v>
      </c>
      <c r="I24" s="3" t="s">
        <v>6</v>
      </c>
      <c r="J24" s="3" t="s">
        <v>6</v>
      </c>
      <c r="K24" s="3" t="s">
        <v>50</v>
      </c>
      <c r="L24" s="3" t="s">
        <v>102</v>
      </c>
      <c r="M24" s="3" t="s">
        <v>6</v>
      </c>
      <c r="N24" s="3" t="s">
        <v>6</v>
      </c>
      <c r="O24" s="3" t="s">
        <v>48</v>
      </c>
      <c r="P24" s="3" t="s">
        <v>49</v>
      </c>
      <c r="Q24" s="3" t="s">
        <v>6</v>
      </c>
      <c r="R24" s="3" t="s">
        <v>6</v>
      </c>
      <c r="S24" s="3" t="s">
        <v>98</v>
      </c>
      <c r="T24" s="3" t="s">
        <v>99</v>
      </c>
      <c r="U24" s="3" t="s">
        <v>6</v>
      </c>
      <c r="V24" s="3" t="s">
        <v>6</v>
      </c>
      <c r="W24" s="3" t="s">
        <v>5</v>
      </c>
      <c r="X24" s="3" t="s">
        <v>16</v>
      </c>
      <c r="Y24" s="3" t="s">
        <v>103</v>
      </c>
      <c r="Z24" s="3" t="s">
        <v>13</v>
      </c>
      <c r="AB24" s="25"/>
      <c r="AE24" s="24"/>
      <c r="AF24" s="24"/>
    </row>
    <row r="25" spans="1:33" x14ac:dyDescent="0.25">
      <c r="A25" s="3" t="s">
        <v>14</v>
      </c>
      <c r="B25" s="3" t="s">
        <v>6</v>
      </c>
      <c r="C25" s="3" t="s">
        <v>48</v>
      </c>
      <c r="D25" s="3" t="s">
        <v>49</v>
      </c>
      <c r="E25" s="3" t="s">
        <v>6</v>
      </c>
      <c r="F25" s="3" t="s">
        <v>6</v>
      </c>
      <c r="G25" s="3" t="s">
        <v>25</v>
      </c>
      <c r="H25" s="3" t="s">
        <v>73</v>
      </c>
      <c r="I25" s="3" t="s">
        <v>5</v>
      </c>
      <c r="J25" s="3" t="s">
        <v>6</v>
      </c>
      <c r="K25" s="3" t="s">
        <v>98</v>
      </c>
      <c r="L25" s="3" t="s">
        <v>99</v>
      </c>
      <c r="M25" s="3" t="s">
        <v>6</v>
      </c>
      <c r="N25" s="3" t="s">
        <v>6</v>
      </c>
      <c r="O25" s="3" t="s">
        <v>3</v>
      </c>
      <c r="P25" s="3" t="s">
        <v>6</v>
      </c>
      <c r="Q25" s="3" t="s">
        <v>8</v>
      </c>
      <c r="R25" s="3" t="s">
        <v>6</v>
      </c>
      <c r="S25" s="3" t="s">
        <v>6</v>
      </c>
      <c r="T25" s="3" t="s">
        <v>25</v>
      </c>
      <c r="U25" s="3" t="s">
        <v>73</v>
      </c>
      <c r="V25" s="3" t="s">
        <v>5</v>
      </c>
      <c r="W25" s="3" t="s">
        <v>6</v>
      </c>
      <c r="X25" s="3" t="s">
        <v>50</v>
      </c>
      <c r="Y25" s="3" t="s">
        <v>51</v>
      </c>
      <c r="Z25" s="3" t="s">
        <v>13</v>
      </c>
      <c r="AB25" s="25" t="s">
        <v>104</v>
      </c>
      <c r="AC25" s="4">
        <v>1050</v>
      </c>
      <c r="AD25" s="1" t="str">
        <f>DEC2HEX((AC25*100))</f>
        <v>19A28</v>
      </c>
      <c r="AE25" s="7" t="str">
        <f t="shared" ref="AE25" si="13">MID(AD25,4,2)</f>
        <v>28</v>
      </c>
      <c r="AF25" s="7" t="str">
        <f t="shared" ref="AF25" si="14">MID(AD25,2,2)</f>
        <v>9A</v>
      </c>
      <c r="AG25" s="7" t="str">
        <f>"0"&amp;MID(AD25,1,1)</f>
        <v>01</v>
      </c>
    </row>
    <row r="26" spans="1:33" x14ac:dyDescent="0.25">
      <c r="A26" s="3" t="s">
        <v>46</v>
      </c>
      <c r="B26" s="3" t="s">
        <v>6</v>
      </c>
      <c r="C26" s="3" t="s">
        <v>98</v>
      </c>
      <c r="D26" s="3" t="s">
        <v>99</v>
      </c>
      <c r="E26" s="3" t="s">
        <v>6</v>
      </c>
      <c r="F26" s="3" t="s">
        <v>6</v>
      </c>
      <c r="G26" s="3" t="s">
        <v>18</v>
      </c>
      <c r="H26" s="3" t="s">
        <v>105</v>
      </c>
      <c r="I26" s="3" t="s">
        <v>106</v>
      </c>
      <c r="J26" s="3" t="s">
        <v>6</v>
      </c>
      <c r="K26" s="3" t="s">
        <v>6</v>
      </c>
      <c r="L26" s="3" t="s">
        <v>50</v>
      </c>
      <c r="M26" s="3" t="s">
        <v>51</v>
      </c>
      <c r="N26" s="3" t="s">
        <v>5</v>
      </c>
      <c r="O26" s="3" t="s">
        <v>6</v>
      </c>
      <c r="P26" s="3" t="s">
        <v>107</v>
      </c>
      <c r="Q26" s="3" t="s">
        <v>108</v>
      </c>
      <c r="R26" s="3" t="s">
        <v>5</v>
      </c>
      <c r="S26" s="3" t="s">
        <v>6</v>
      </c>
      <c r="T26" s="3" t="s">
        <v>98</v>
      </c>
      <c r="U26" s="3" t="s">
        <v>99</v>
      </c>
      <c r="V26" s="3" t="s">
        <v>6</v>
      </c>
      <c r="W26" s="3" t="s">
        <v>6</v>
      </c>
      <c r="X26" s="3" t="s">
        <v>57</v>
      </c>
      <c r="Y26" s="3" t="s">
        <v>50</v>
      </c>
      <c r="Z26" s="3" t="s">
        <v>13</v>
      </c>
    </row>
    <row r="27" spans="1:33" x14ac:dyDescent="0.25">
      <c r="A27" s="3" t="s">
        <v>109</v>
      </c>
      <c r="B27" s="3" t="s">
        <v>5</v>
      </c>
      <c r="C27" s="3" t="s">
        <v>6</v>
      </c>
      <c r="D27" s="3" t="s">
        <v>16</v>
      </c>
      <c r="E27" s="3" t="s">
        <v>52</v>
      </c>
      <c r="F27" s="3" t="s">
        <v>5</v>
      </c>
      <c r="G27" s="3" t="s">
        <v>6</v>
      </c>
      <c r="H27" s="3" t="s">
        <v>16</v>
      </c>
      <c r="I27" s="3" t="s">
        <v>52</v>
      </c>
      <c r="J27" s="3" t="s">
        <v>5</v>
      </c>
      <c r="K27" s="3" t="s">
        <v>6</v>
      </c>
      <c r="L27" s="3" t="s">
        <v>98</v>
      </c>
      <c r="M27" s="3" t="s">
        <v>99</v>
      </c>
      <c r="N27" s="3" t="s">
        <v>6</v>
      </c>
      <c r="O27" s="3" t="s">
        <v>6</v>
      </c>
      <c r="P27" s="3" t="s">
        <v>42</v>
      </c>
      <c r="Q27" s="3" t="s">
        <v>16</v>
      </c>
      <c r="R27" s="3" t="s">
        <v>52</v>
      </c>
      <c r="S27" s="3" t="s">
        <v>5</v>
      </c>
      <c r="T27" s="3" t="s">
        <v>6</v>
      </c>
      <c r="U27" s="3" t="s">
        <v>53</v>
      </c>
      <c r="V27" s="3" t="s">
        <v>67</v>
      </c>
      <c r="W27" s="3" t="s">
        <v>5</v>
      </c>
      <c r="X27" s="3" t="s">
        <v>6</v>
      </c>
      <c r="Y27" s="3" t="s">
        <v>53</v>
      </c>
      <c r="Z27" s="3" t="s">
        <v>13</v>
      </c>
    </row>
    <row r="28" spans="1:33" x14ac:dyDescent="0.25">
      <c r="A28" s="3" t="s">
        <v>55</v>
      </c>
      <c r="B28" s="3" t="s">
        <v>5</v>
      </c>
      <c r="C28" s="3" t="s">
        <v>6</v>
      </c>
      <c r="D28" s="3" t="s">
        <v>98</v>
      </c>
      <c r="E28" s="3" t="s">
        <v>99</v>
      </c>
      <c r="F28" s="3" t="s">
        <v>6</v>
      </c>
      <c r="G28" s="3" t="s">
        <v>6</v>
      </c>
      <c r="H28" s="3" t="s">
        <v>9</v>
      </c>
      <c r="I28" s="3" t="s">
        <v>6</v>
      </c>
      <c r="J28" s="3" t="s">
        <v>58</v>
      </c>
      <c r="K28" s="3" t="s">
        <v>5</v>
      </c>
      <c r="L28" s="3" t="s">
        <v>6</v>
      </c>
      <c r="M28" s="3" t="s">
        <v>6</v>
      </c>
      <c r="N28" s="3" t="s">
        <v>58</v>
      </c>
      <c r="O28" s="3" t="s">
        <v>5</v>
      </c>
      <c r="P28" s="3" t="s">
        <v>6</v>
      </c>
      <c r="Q28" s="3" t="s">
        <v>34</v>
      </c>
      <c r="R28" s="3" t="s">
        <v>56</v>
      </c>
      <c r="S28" s="3" t="s">
        <v>5</v>
      </c>
      <c r="T28" s="3" t="s">
        <v>6</v>
      </c>
      <c r="U28" s="3" t="s">
        <v>98</v>
      </c>
      <c r="V28" s="3" t="s">
        <v>99</v>
      </c>
      <c r="W28" s="3" t="s">
        <v>6</v>
      </c>
      <c r="X28" s="3" t="s">
        <v>6</v>
      </c>
      <c r="Y28" s="3" t="s">
        <v>43</v>
      </c>
      <c r="Z28" s="3" t="s">
        <v>13</v>
      </c>
    </row>
    <row r="29" spans="1:33" x14ac:dyDescent="0.25">
      <c r="A29" s="3" t="s">
        <v>110</v>
      </c>
      <c r="B29" s="3" t="s">
        <v>59</v>
      </c>
      <c r="C29" s="3" t="s">
        <v>5</v>
      </c>
      <c r="D29" s="3" t="s">
        <v>6</v>
      </c>
      <c r="E29" s="3" t="s">
        <v>34</v>
      </c>
      <c r="F29" s="3" t="s">
        <v>59</v>
      </c>
      <c r="G29" s="3" t="s">
        <v>5</v>
      </c>
      <c r="H29" s="3" t="s">
        <v>6</v>
      </c>
      <c r="I29" s="3" t="s">
        <v>6</v>
      </c>
      <c r="J29" s="3" t="s">
        <v>58</v>
      </c>
      <c r="K29" s="3" t="s">
        <v>5</v>
      </c>
      <c r="L29" s="3" t="s">
        <v>6</v>
      </c>
      <c r="M29" s="3" t="s">
        <v>98</v>
      </c>
      <c r="N29" s="3" t="s">
        <v>99</v>
      </c>
      <c r="O29" s="3" t="s">
        <v>6</v>
      </c>
      <c r="P29" s="3" t="s">
        <v>6</v>
      </c>
      <c r="Q29" s="3" t="s">
        <v>5</v>
      </c>
      <c r="R29" s="3" t="s">
        <v>111</v>
      </c>
      <c r="S29" s="3" t="s">
        <v>6</v>
      </c>
      <c r="T29" s="3" t="s">
        <v>6</v>
      </c>
      <c r="U29" s="3" t="s">
        <v>6</v>
      </c>
      <c r="V29" s="3" t="s">
        <v>6</v>
      </c>
      <c r="W29" s="3" t="s">
        <v>6</v>
      </c>
      <c r="X29" s="3" t="s">
        <v>6</v>
      </c>
      <c r="Y29" s="3" t="s">
        <v>6</v>
      </c>
      <c r="Z29" s="3" t="s">
        <v>13</v>
      </c>
    </row>
    <row r="30" spans="1:33" x14ac:dyDescent="0.25">
      <c r="A30" s="3" t="s">
        <v>112</v>
      </c>
      <c r="B30" s="3" t="s">
        <v>113</v>
      </c>
      <c r="C30" s="3" t="s">
        <v>114</v>
      </c>
      <c r="D30" s="3" t="s">
        <v>48</v>
      </c>
      <c r="E30" s="3" t="s">
        <v>115</v>
      </c>
      <c r="F30" s="3" t="s">
        <v>48</v>
      </c>
      <c r="G30" s="3" t="s">
        <v>115</v>
      </c>
      <c r="H30" s="3" t="s">
        <v>116</v>
      </c>
      <c r="I30" s="3" t="s">
        <v>6</v>
      </c>
      <c r="J30" s="3" t="s">
        <v>117</v>
      </c>
      <c r="K30" s="3" t="s">
        <v>6</v>
      </c>
      <c r="L30" s="3" t="s">
        <v>118</v>
      </c>
      <c r="M30" s="3" t="s">
        <v>18</v>
      </c>
      <c r="N30" s="3" t="s">
        <v>34</v>
      </c>
      <c r="O30" s="3" t="s">
        <v>5</v>
      </c>
      <c r="P30" s="3" t="s">
        <v>34</v>
      </c>
      <c r="Q30" s="3" t="s">
        <v>5</v>
      </c>
      <c r="R30" s="3" t="s">
        <v>34</v>
      </c>
      <c r="S30" s="3" t="s">
        <v>5</v>
      </c>
      <c r="T30" s="3" t="s">
        <v>34</v>
      </c>
      <c r="U30" s="3" t="s">
        <v>5</v>
      </c>
      <c r="V30" s="3" t="s">
        <v>34</v>
      </c>
      <c r="W30" s="3" t="s">
        <v>5</v>
      </c>
      <c r="X30" s="3" t="s">
        <v>34</v>
      </c>
      <c r="Y30" s="3" t="s">
        <v>5</v>
      </c>
      <c r="Z30" s="3" t="s">
        <v>13</v>
      </c>
    </row>
    <row r="31" spans="1:33" x14ac:dyDescent="0.25">
      <c r="A31" s="3" t="s">
        <v>110</v>
      </c>
      <c r="B31" s="3" t="s">
        <v>5</v>
      </c>
      <c r="C31" s="3" t="s">
        <v>6</v>
      </c>
      <c r="D31" s="3" t="s">
        <v>6</v>
      </c>
      <c r="E31" s="3" t="s">
        <v>6</v>
      </c>
      <c r="F31" s="3" t="s">
        <v>6</v>
      </c>
      <c r="G31" s="3" t="s">
        <v>6</v>
      </c>
      <c r="H31" s="3" t="s">
        <v>3</v>
      </c>
      <c r="I31" s="3" t="s">
        <v>57</v>
      </c>
      <c r="J31" s="3" t="s">
        <v>119</v>
      </c>
      <c r="K31" s="3" t="s">
        <v>43</v>
      </c>
      <c r="L31" s="3" t="s">
        <v>53</v>
      </c>
      <c r="M31" s="3" t="s">
        <v>6</v>
      </c>
      <c r="N31" s="3" t="s">
        <v>53</v>
      </c>
      <c r="O31" s="3" t="s">
        <v>6</v>
      </c>
      <c r="P31" s="3" t="s">
        <v>53</v>
      </c>
      <c r="Q31" s="3" t="s">
        <v>6</v>
      </c>
      <c r="R31" s="3" t="s">
        <v>34</v>
      </c>
      <c r="S31" s="3" t="s">
        <v>5</v>
      </c>
      <c r="T31" s="3" t="s">
        <v>6</v>
      </c>
      <c r="U31" s="3" t="s">
        <v>6</v>
      </c>
      <c r="V31" s="3" t="s">
        <v>120</v>
      </c>
      <c r="W31" s="3" t="s">
        <v>6</v>
      </c>
      <c r="X31" s="3" t="s">
        <v>121</v>
      </c>
      <c r="Y31" s="3" t="s">
        <v>6</v>
      </c>
      <c r="Z31" s="3" t="s">
        <v>13</v>
      </c>
    </row>
    <row r="32" spans="1:33" x14ac:dyDescent="0.25">
      <c r="A32" s="3" t="s">
        <v>55</v>
      </c>
      <c r="B32" s="3" t="s">
        <v>6</v>
      </c>
      <c r="C32" s="3" t="s">
        <v>67</v>
      </c>
      <c r="D32" s="3" t="s">
        <v>6</v>
      </c>
      <c r="E32" s="3" t="s">
        <v>56</v>
      </c>
      <c r="F32" s="3" t="s">
        <v>6</v>
      </c>
      <c r="G32" s="3" t="s">
        <v>122</v>
      </c>
      <c r="H32" s="3" t="s">
        <v>6</v>
      </c>
      <c r="I32" s="3" t="s">
        <v>122</v>
      </c>
      <c r="J32" s="3" t="s">
        <v>6</v>
      </c>
      <c r="K32" s="3" t="s">
        <v>123</v>
      </c>
      <c r="L32" s="3" t="s">
        <v>6</v>
      </c>
      <c r="M32" s="3" t="s">
        <v>50</v>
      </c>
      <c r="N32" s="3" t="s">
        <v>6</v>
      </c>
      <c r="O32" s="3" t="s">
        <v>34</v>
      </c>
      <c r="P32" s="3" t="s">
        <v>124</v>
      </c>
      <c r="Q32" s="3" t="s">
        <v>38</v>
      </c>
      <c r="R32" s="3" t="s">
        <v>48</v>
      </c>
      <c r="S32" s="3" t="s">
        <v>125</v>
      </c>
      <c r="T32" s="3" t="s">
        <v>6</v>
      </c>
      <c r="U32" s="3" t="s">
        <v>34</v>
      </c>
      <c r="V32" s="3" t="s">
        <v>126</v>
      </c>
      <c r="W32" s="3" t="s">
        <v>6</v>
      </c>
      <c r="X32" s="3" t="s">
        <v>6</v>
      </c>
      <c r="Y32" s="3" t="s">
        <v>6</v>
      </c>
      <c r="Z32" s="3" t="s">
        <v>13</v>
      </c>
    </row>
    <row r="33" spans="1:26" x14ac:dyDescent="0.25">
      <c r="A33" s="3" t="s">
        <v>14</v>
      </c>
      <c r="B33" s="3" t="s">
        <v>6</v>
      </c>
      <c r="C33" s="3" t="s">
        <v>6</v>
      </c>
      <c r="D33" s="3" t="s">
        <v>6</v>
      </c>
      <c r="E33" s="3" t="s">
        <v>6</v>
      </c>
      <c r="F33" s="3" t="s">
        <v>6</v>
      </c>
      <c r="G33" s="3" t="s">
        <v>6</v>
      </c>
      <c r="H33" s="3" t="s">
        <v>6</v>
      </c>
      <c r="I33" s="3" t="s">
        <v>6</v>
      </c>
      <c r="J33" s="3" t="s">
        <v>6</v>
      </c>
      <c r="K33" s="3" t="s">
        <v>6</v>
      </c>
      <c r="L33" s="3" t="s">
        <v>6</v>
      </c>
      <c r="M33" s="3" t="s">
        <v>6</v>
      </c>
      <c r="N33" s="3" t="s">
        <v>6</v>
      </c>
      <c r="O33" s="3" t="s">
        <v>3</v>
      </c>
      <c r="P33" s="3" t="s">
        <v>3</v>
      </c>
      <c r="Q33" s="3" t="s">
        <v>79</v>
      </c>
      <c r="R33" s="3" t="s">
        <v>127</v>
      </c>
      <c r="S33" s="3" t="s">
        <v>6</v>
      </c>
      <c r="T33" s="3" t="s">
        <v>6</v>
      </c>
      <c r="U33" s="3" t="s">
        <v>3</v>
      </c>
      <c r="V33" s="3" t="s">
        <v>128</v>
      </c>
      <c r="W33" s="3" t="s">
        <v>48</v>
      </c>
      <c r="X33" s="3" t="s">
        <v>49</v>
      </c>
      <c r="Y33" s="3" t="s">
        <v>6</v>
      </c>
      <c r="Z33" s="3" t="s">
        <v>13</v>
      </c>
    </row>
    <row r="34" spans="1:26" x14ac:dyDescent="0.25">
      <c r="A34" s="3" t="s">
        <v>14</v>
      </c>
      <c r="B34" s="3" t="s">
        <v>3</v>
      </c>
      <c r="C34" s="3" t="s">
        <v>128</v>
      </c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</sheetData>
  <sheetProtection password="BC48" sheet="1" objects="1" scenarios="1"/>
  <mergeCells count="3">
    <mergeCell ref="S6:AA6"/>
    <mergeCell ref="AC1:AD1"/>
    <mergeCell ref="AC2:AD2"/>
  </mergeCells>
  <dataValidations disablePrompts="1" count="1">
    <dataValidation type="whole" allowBlank="1" showInputMessage="1" showErrorMessage="1" sqref="AC7:AC14 AC16:AC23 AC25">
      <formula1>500</formula1>
      <formula2>2000</formula2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eseArbeitsmappe.Save_as_Reg">
                <anchor moveWithCells="1" sizeWithCells="1">
                  <from>
                    <xdr:col>30</xdr:col>
                    <xdr:colOff>47625</xdr:colOff>
                    <xdr:row>1</xdr:row>
                    <xdr:rowOff>66675</xdr:rowOff>
                  </from>
                  <to>
                    <xdr:col>33</xdr:col>
                    <xdr:colOff>361950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ClockSettings</vt:lpstr>
    </vt:vector>
  </TitlesOfParts>
  <Company>brnsted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brnsted</dc:creator>
  <dcterms:created xsi:type="dcterms:W3CDTF">2017-09-28T19:17:33Z</dcterms:created>
  <dcterms:modified xsi:type="dcterms:W3CDTF">2017-09-28T20:04:24Z</dcterms:modified>
</cp:coreProperties>
</file>